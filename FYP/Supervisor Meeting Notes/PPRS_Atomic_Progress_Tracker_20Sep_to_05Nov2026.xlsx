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56916f2c0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omic Task Tracker" sheetId="1" r:id="R4113bac225db4273"/>
    <x:sheet xmlns:r="http://schemas.openxmlformats.org/officeDocument/2006/relationships" name="Weekly Plan" sheetId="2" r:id="R1806841b8a2945c1"/>
    <x:sheet xmlns:r="http://schemas.openxmlformats.org/officeDocument/2006/relationships" name="Deliverables &amp; Gates" sheetId="3" r:id="Rc4d67974b3094f3e"/>
    <x:sheet xmlns:r="http://schemas.openxmlformats.org/officeDocument/2006/relationships" name="Dashboard" sheetId="4" r:id="R8420b09528734d77"/>
    <x:sheet xmlns:r="http://schemas.openxmlformats.org/officeDocument/2006/relationships" name="How to Use" sheetId="5" r:id="R68c8c5d5b147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EADCF8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1c077f1624e9d" /><Relationship Type="http://schemas.openxmlformats.org/officeDocument/2006/relationships/theme" Target="/xl/theme/theme1.xml" Id="Ra7b217fc3b1643f6" /><Relationship Type="http://schemas.openxmlformats.org/officeDocument/2006/relationships/sharedStrings" Target="/xl/sharedStrings.xml" Id="R1093a4d02de44259" /><Relationship Type="http://schemas.openxmlformats.org/officeDocument/2006/relationships/worksheet" Target="/xl/worksheets/sheet1.xml" Id="R4113bac225db4273" /><Relationship Type="http://schemas.openxmlformats.org/officeDocument/2006/relationships/worksheet" Target="/xl/worksheets/sheet2.xml" Id="R1806841b8a2945c1" /><Relationship Type="http://schemas.openxmlformats.org/officeDocument/2006/relationships/worksheet" Target="/xl/worksheets/sheet3.xml" Id="Rc4d67974b3094f3e" /><Relationship Type="http://schemas.openxmlformats.org/officeDocument/2006/relationships/worksheet" Target="/xl/worksheets/sheet4.xml" Id="R8420b09528734d77" /><Relationship Type="http://schemas.openxmlformats.org/officeDocument/2006/relationships/worksheet" Target="/xl/worksheets/sheet5.xml" Id="R68c8c5d5b147466f" /></Relationships>
</file>

<file path=xl/tables/table1.xml><?xml version="1.0" encoding="utf-8"?>
<x:table xmlns:x="http://schemas.openxmlformats.org/spreadsheetml/2006/main" id="1" name="PPRSTaskTracker" displayName="PPRSTaskTracker" ref="A3:R215" headerRowCount="1" totalsRowCount="0" totalsRowShown="0">
  <x:tableColumns count="18">
    <x:tableColumn id="1" name="Task ID"/>
    <x:tableColumn id="2" name="Planned Date"/>
    <x:tableColumn id="3" name="Week"/>
    <x:tableColumn id="4" name="Major Deliverable"/>
    <x:tableColumn id="5" name="Workstream"/>
    <x:tableColumn id="6" name="Atomic Task"/>
    <x:tableColumn id="7" name="Evidence / Deliverable"/>
    <x:tableColumn id="8" name="Planned Hours"/>
    <x:tableColumn id="9" name="Priority"/>
    <x:tableColumn id="10" name="Dependency"/>
    <x:tableColumn id="11" name="Milestone"/>
    <x:tableColumn id="12" name="Status"/>
    <x:tableColumn id="13" name="Completion %"/>
    <x:tableColumn id="14" name="Actual Completion Date"/>
    <x:tableColumn id="15" name="Evidence / Link"/>
    <x:tableColumn id="16" name="Quality /5"/>
    <x:tableColumn id="17" name="Rework Required?"/>
    <x:tableColumn id="18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PPRSPlan" displayName="WeeklyPPRSPlan" ref="A3:J12" headerRowCount="1" totalsRowCount="0" totalsRowShown="0">
  <x:tableColumns count="10">
    <x:tableColumn id="1" name="Period"/>
    <x:tableColumn id="2" name="Date Range"/>
    <x:tableColumn id="3" name="Capacity Hours"/>
    <x:tableColumn id="4" name="Planned Hours"/>
    <x:tableColumn id="5" name="LR Focus"/>
    <x:tableColumn id="6" name="Requirement Focus"/>
    <x:tableColumn id="7" name="Handout Focus"/>
    <x:tableColumn id="8" name="PoC Focus"/>
    <x:tableColumn id="9" name="Video / Live Focus"/>
    <x:tableColumn id="10" name="Completion G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liverableGates" displayName="DeliverableGates" ref="A3:H9" headerRowCount="1" totalsRowCount="0" totalsRowShown="0">
  <x:tableColumns count="8">
    <x:tableColumn id="1" name="Deliverable"/>
    <x:tableColumn id="2" name="Target Date"/>
    <x:tableColumn id="3" name="Definition of Done"/>
    <x:tableColumn id="4" name="Key Evidence"/>
    <x:tableColumn id="5" name="Must Reach Quality"/>
    <x:tableColumn id="6" name="Current Status"/>
    <x:tableColumn id="7" name="Quality /5"/>
    <x:tableColumn id="8" name="Action if &lt;4.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d2a0064a5745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c52b2821934d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5ae3ff1ee6401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1" hidden="0" customWidth="1"/>
    <x:col min="4" max="4" width="23" hidden="0" customWidth="1"/>
    <x:col min="5" max="5" width="22" hidden="0" customWidth="1"/>
    <x:col min="6" max="6" width="64" hidden="0" customWidth="1"/>
    <x:col min="7" max="7" width="38" hidden="0" customWidth="1"/>
    <x:col min="8" max="8" width="12" hidden="0" customWidth="1"/>
    <x:col min="9" max="9" width="10" hidden="0" customWidth="1"/>
    <x:col min="10" max="10" width="28" hidden="0" customWidth="1"/>
    <x:col min="11" max="11" width="22" hidden="0" customWidth="1"/>
    <x:col min="12" max="12" width="14" hidden="0" customWidth="1"/>
    <x:col min="13" max="13" width="13" hidden="0" customWidth="1"/>
    <x:col min="14" max="14" width="17" hidden="0" customWidth="1"/>
    <x:col min="15" max="15" width="28" hidden="0" customWidth="1"/>
    <x:col min="16" max="16" width="11" hidden="0" customWidth="1"/>
    <x:col min="17" max="17" width="16" hidden="0" customWidth="1"/>
    <x:col min="18" max="18" width="34" hidden="0" customWidth="1"/>
  </x:cols>
  <x:sheetData>
    <x:row r="1">
      <x:c r="A1" s="5" t="str">
        <x:v>PPRS Atomic Task Tracker — Deadline 5 November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14" t="str">
        <x:v>Task ID</x:v>
      </x:c>
      <x:c r="B3" s="14" t="str">
        <x:v>Planned Date</x:v>
      </x:c>
      <x:c r="C3" s="14" t="str">
        <x:v>Week</x:v>
      </x:c>
      <x:c r="D3" s="14" t="str">
        <x:v>Major Deliverable</x:v>
      </x:c>
      <x:c r="E3" s="14" t="str">
        <x:v>Workstream</x:v>
      </x:c>
      <x:c r="F3" s="14" t="str">
        <x:v>Atomic Task</x:v>
      </x:c>
      <x:c r="G3" s="14" t="str">
        <x:v>Evidence / Deliverable</x:v>
      </x:c>
      <x:c r="H3" s="14" t="str">
        <x:v>Planned Hours</x:v>
      </x:c>
      <x:c r="I3" s="14" t="str">
        <x:v>Priority</x:v>
      </x:c>
      <x:c r="J3" s="14" t="str">
        <x:v>Dependency</x:v>
      </x:c>
      <x:c r="K3" s="14" t="str">
        <x:v>Milestone</x:v>
      </x:c>
      <x:c r="L3" s="14" t="str">
        <x:v>Status</x:v>
      </x:c>
      <x:c r="M3" s="14" t="str">
        <x:v>Completion %</x:v>
      </x:c>
      <x:c r="N3" s="14" t="str">
        <x:v>Actual Completion Date</x:v>
      </x:c>
      <x:c r="O3" s="14" t="str">
        <x:v>Evidence / Link</x:v>
      </x:c>
      <x:c r="P3" s="14" t="str">
        <x:v>Quality /5</x:v>
      </x:c>
      <x:c r="Q3" s="14" t="str">
        <x:v>Rework Required?</x:v>
      </x:c>
      <x:c r="R3" s="14" t="str">
        <x:v>Remarks</x:v>
      </x:c>
    </x:row>
    <x:row r="4">
      <x:c r="A4" s="20" t="str">
        <x:v>T001</x:v>
      </x:c>
      <x:c r="B4" s="20" t="str">
        <x:v>2026-09-20</x:v>
      </x:c>
      <x:c r="C4" s="20" t="str">
        <x:v>Start</x:v>
      </x:c>
      <x:c r="D4" s="20" t="str">
        <x:v>4. Proof of Concept</x:v>
      </x:c>
      <x:c r="E4" s="20" t="str">
        <x:v>Dataset</x:v>
      </x:c>
      <x:c r="F4" s="20" t="str">
        <x:v>List the exact market/liquidity/report datasets already identified and unresolved data risks</x:v>
      </x:c>
      <x:c r="G4" s="20" t="str">
        <x:v>Dataset readiness checklist</x:v>
      </x:c>
      <x:c r="H4" s="20" t="n">
        <x:v>1</x:v>
      </x:c>
      <x:c r="I4" s="20" t="str">
        <x:v>High</x:v>
      </x:c>
      <x:c r="J4" s="20" t="str"/>
      <x:c r="K4" s="20" t="str"/>
      <x:c r="L4" s="20" t="str">
        <x:v>Not Started</x:v>
      </x:c>
      <x:c r="M4" s="20" t="n">
        <x:f>IF(L4="Completed",100,IF(L4="In Progress",50,0))</x:f>
        <x:v>0</x:v>
      </x:c>
      <x:c r="N4" s="20" t="str"/>
      <x:c r="O4" s="20" t="str"/>
      <x:c r="P4" s="20" t="str"/>
      <x:c r="Q4" s="20" t="str">
        <x:f>IF(OR(L4&lt;&gt;"Completed",P4=""),"",IF(P4&lt;4.5,"YES","NO"))</x:f>
      </x:c>
      <x:c r="R4" s="20" t="str"/>
    </x:row>
    <x:row r="5">
      <x:c r="A5" s="20" t="str">
        <x:v>T002</x:v>
      </x:c>
      <x:c r="B5" s="20" t="str">
        <x:v>2026-09-20</x:v>
      </x:c>
      <x:c r="C5" s="20" t="str">
        <x:v>Start</x:v>
      </x:c>
      <x:c r="D5" s="20" t="str">
        <x:v>1. Literature Review</x:v>
      </x:c>
      <x:c r="E5" s="20" t="str">
        <x:v>Literature Review</x:v>
      </x:c>
      <x:c r="F5" s="20" t="str">
        <x:v>Review current literature/gap matrix and mark every unsupported absolute claim</x:v>
      </x:c>
      <x:c r="G5" s="20" t="str">
        <x:v>Absolute-claim issue list</x:v>
      </x:c>
      <x:c r="H5" s="20" t="n">
        <x:v>1</x:v>
      </x:c>
      <x:c r="I5" s="20" t="str">
        <x:v>High</x:v>
      </x:c>
      <x:c r="J5" s="20" t="str"/>
      <x:c r="K5" s="20" t="str"/>
      <x:c r="L5" s="20" t="str">
        <x:v>Not Started</x:v>
      </x:c>
      <x:c r="M5" s="20" t="n">
        <x:f>IF(L5="Completed",100,IF(L5="In Progress",50,0))</x:f>
        <x:v>0</x:v>
      </x:c>
      <x:c r="N5" s="20" t="str"/>
      <x:c r="O5" s="20" t="str"/>
      <x:c r="P5" s="20" t="str"/>
      <x:c r="Q5" s="20" t="str">
        <x:f>IF(OR(L5&lt;&gt;"Completed",P5=""),"",IF(P5&lt;4.5,"YES","NO"))</x:f>
      </x:c>
      <x:c r="R5" s="20" t="str"/>
    </x:row>
    <x:row r="6">
      <x:c r="A6" s="20" t="str">
        <x:v>T003</x:v>
      </x:c>
      <x:c r="B6" s="20" t="str">
        <x:v>2026-09-20</x:v>
      </x:c>
      <x:c r="C6" s="20" t="str">
        <x:v>Start</x:v>
      </x:c>
      <x:c r="D6" s="20" t="str">
        <x:v>Supporting / QA</x:v>
      </x:c>
      <x:c r="E6" s="20" t="str">
        <x:v>Project Control</x:v>
      </x:c>
      <x:c r="F6" s="20" t="str">
        <x:v>Create the PPRS work tracker and evidence folders</x:v>
      </x:c>
      <x:c r="G6" s="20" t="str">
        <x:v>Tracker + evidence folders</x:v>
      </x:c>
      <x:c r="H6" s="20" t="n">
        <x:v>0.5</x:v>
      </x:c>
      <x:c r="I6" s="20" t="str">
        <x:v>High</x:v>
      </x:c>
      <x:c r="J6" s="20" t="str"/>
      <x:c r="K6" s="20" t="str"/>
      <x:c r="L6" s="20" t="str">
        <x:v>Not Started</x:v>
      </x:c>
      <x:c r="M6" s="20" t="n">
        <x:f>IF(L6="Completed",100,IF(L6="In Progress",50,0))</x:f>
        <x:v>0</x:v>
      </x:c>
      <x:c r="N6" s="20" t="str"/>
      <x:c r="O6" s="20" t="str"/>
      <x:c r="P6" s="20" t="str"/>
      <x:c r="Q6" s="20" t="str">
        <x:f>IF(OR(L6&lt;&gt;"Completed",P6=""),"",IF(P6&lt;4.5,"YES","NO"))</x:f>
      </x:c>
      <x:c r="R6" s="20" t="str"/>
    </x:row>
    <x:row r="7">
      <x:c r="A7" s="20" t="str">
        <x:v>T004</x:v>
      </x:c>
      <x:c r="B7" s="20" t="str">
        <x:v>2026-09-20</x:v>
      </x:c>
      <x:c r="C7" s="20" t="str">
        <x:v>Start</x:v>
      </x:c>
      <x:c r="D7" s="20" t="str">
        <x:v>Supporting / QA</x:v>
      </x:c>
      <x:c r="E7" s="20" t="str">
        <x:v>Project Control</x:v>
      </x:c>
      <x:c r="F7" s="20" t="str">
        <x:v>Review all supervision feedback from the previous discussion and extract required corrections</x:v>
      </x:c>
      <x:c r="G7" s="20" t="str">
        <x:v>Supervisor-action checklist</x:v>
      </x:c>
      <x:c r="H7" s="20" t="n">
        <x:v>1.5</x:v>
      </x:c>
      <x:c r="I7" s="20" t="str">
        <x:v>High</x:v>
      </x:c>
      <x:c r="J7" s="20" t="str"/>
      <x:c r="K7" s="20" t="str"/>
      <x:c r="L7" s="20" t="str">
        <x:v>Not Started</x:v>
      </x:c>
      <x:c r="M7" s="20" t="n">
        <x:f>IF(L7="Completed",100,IF(L7="In Progress",50,0))</x:f>
        <x:v>0</x:v>
      </x:c>
      <x:c r="N7" s="20" t="str"/>
      <x:c r="O7" s="20" t="str"/>
      <x:c r="P7" s="20" t="str"/>
      <x:c r="Q7" s="20" t="str">
        <x:f>IF(OR(L7&lt;&gt;"Completed",P7=""),"",IF(P7&lt;4.5,"YES","NO"))</x:f>
      </x:c>
      <x:c r="R7" s="20" t="str"/>
    </x:row>
    <x:row r="8">
      <x:c r="A8" s="20" t="str">
        <x:v>T005</x:v>
      </x:c>
      <x:c r="B8" s="20" t="str">
        <x:v>2026-09-20</x:v>
      </x:c>
      <x:c r="C8" s="20" t="str">
        <x:v>Start</x:v>
      </x:c>
      <x:c r="D8" s="20" t="str">
        <x:v>3. PPRS Handout</x:v>
      </x:c>
      <x:c r="E8" s="20" t="str">
        <x:v>Research Design</x:v>
      </x:c>
      <x:c r="F8" s="20" t="str">
        <x:v>Draft the technical contribution to Body of Knowledge in one paragraph</x:v>
      </x:c>
      <x:c r="G8" s="20" t="str">
        <x:v>Technical contribution v0.8</x:v>
      </x:c>
      <x:c r="H8" s="20" t="n">
        <x:v>1</x:v>
      </x:c>
      <x:c r="I8" s="20" t="str">
        <x:v>High</x:v>
      </x:c>
      <x:c r="J8" s="20" t="str"/>
      <x:c r="K8" s="20" t="str"/>
      <x:c r="L8" s="20" t="str">
        <x:v>Not Started</x:v>
      </x:c>
      <x:c r="M8" s="20" t="n">
        <x:f>IF(L8="Completed",100,IF(L8="In Progress",50,0))</x:f>
        <x:v>0</x:v>
      </x:c>
      <x:c r="N8" s="20" t="str"/>
      <x:c r="O8" s="20" t="str"/>
      <x:c r="P8" s="20" t="str"/>
      <x:c r="Q8" s="20" t="str">
        <x:f>IF(OR(L8&lt;&gt;"Completed",P8=""),"",IF(P8&lt;4.5,"YES","NO"))</x:f>
      </x:c>
      <x:c r="R8" s="20" t="str"/>
    </x:row>
    <x:row r="9">
      <x:c r="A9" s="20" t="str">
        <x:v>T006</x:v>
      </x:c>
      <x:c r="B9" s="20" t="str">
        <x:v>2026-09-20</x:v>
      </x:c>
      <x:c r="C9" s="20" t="str">
        <x:v>Start</x:v>
      </x:c>
      <x:c r="D9" s="20" t="str">
        <x:v>3. PPRS Handout</x:v>
      </x:c>
      <x:c r="E9" s="20" t="str">
        <x:v>Research Design</x:v>
      </x:c>
      <x:c r="F9" s="20" t="str">
        <x:v>Freeze sentiment as non-core / removed from the core research scope</x:v>
      </x:c>
      <x:c r="G9" s="20" t="str">
        <x:v>Scope decision record</x:v>
      </x:c>
      <x:c r="H9" s="20" t="n">
        <x:v>0.5</x:v>
      </x:c>
      <x:c r="I9" s="20" t="str">
        <x:v>High</x:v>
      </x:c>
      <x:c r="J9" s="20" t="str"/>
      <x:c r="K9" s="20" t="str"/>
      <x:c r="L9" s="20" t="str">
        <x:v>Not Started</x:v>
      </x:c>
      <x:c r="M9" s="20" t="n">
        <x:f>IF(L9="Completed",100,IF(L9="In Progress",50,0))</x:f>
        <x:v>0</x:v>
      </x:c>
      <x:c r="N9" s="20" t="str"/>
      <x:c r="O9" s="20" t="str"/>
      <x:c r="P9" s="20" t="str"/>
      <x:c r="Q9" s="20" t="str">
        <x:f>IF(OR(L9&lt;&gt;"Completed",P9=""),"",IF(P9&lt;4.5,"YES","NO"))</x:f>
      </x:c>
      <x:c r="R9" s="20" t="str"/>
    </x:row>
    <x:row r="10">
      <x:c r="A10" s="20" t="str">
        <x:v>T007</x:v>
      </x:c>
      <x:c r="B10" s="20" t="str">
        <x:v>2026-09-20</x:v>
      </x:c>
      <x:c r="C10" s="20" t="str">
        <x:v>Start</x:v>
      </x:c>
      <x:c r="D10" s="20" t="str">
        <x:v>3. PPRS Handout</x:v>
      </x:c>
      <x:c r="E10" s="20" t="str">
        <x:v>Research Design</x:v>
      </x:c>
      <x:c r="F10" s="20" t="str">
        <x:v>Rewrite one main gap and maximum two sub-gaps in provisional form</x:v>
      </x:c>
      <x:c r="G10" s="20" t="str">
        <x:v>Gap set v0.9</x:v>
      </x:c>
      <x:c r="H10" s="20" t="n">
        <x:v>1.5</x:v>
      </x:c>
      <x:c r="I10" s="20" t="str">
        <x:v>High</x:v>
      </x:c>
      <x:c r="J10" s="20" t="str"/>
      <x:c r="K10" s="20" t="str"/>
      <x:c r="L10" s="20" t="str">
        <x:v>Not Started</x:v>
      </x:c>
      <x:c r="M10" s="20" t="n">
        <x:f>IF(L10="Completed",100,IF(L10="In Progress",50,0))</x:f>
        <x:v>0</x:v>
      </x:c>
      <x:c r="N10" s="20" t="str"/>
      <x:c r="O10" s="20" t="str"/>
      <x:c r="P10" s="20" t="str"/>
      <x:c r="Q10" s="20" t="str">
        <x:f>IF(OR(L10&lt;&gt;"Completed",P10=""),"",IF(P10&lt;4.5,"YES","NO"))</x:f>
      </x:c>
      <x:c r="R10" s="20" t="str"/>
    </x:row>
    <x:row r="11">
      <x:c r="A11" s="20" t="str">
        <x:v>T008</x:v>
      </x:c>
      <x:c r="B11" s="20" t="str">
        <x:v>2026-09-20</x:v>
      </x:c>
      <x:c r="C11" s="20" t="str">
        <x:v>Start</x:v>
      </x:c>
      <x:c r="D11" s="20" t="str">
        <x:v>3. PPRS Handout</x:v>
      </x:c>
      <x:c r="E11" s="20" t="str">
        <x:v>Research Design</x:v>
      </x:c>
      <x:c r="F11" s="20" t="str">
        <x:v>Write explicit Task–Domain–Constraints statement</x:v>
      </x:c>
      <x:c r="G11" s="20" t="str">
        <x:v>Task–Domain–Constraints v1.0</x:v>
      </x:c>
      <x:c r="H11" s="20" t="n">
        <x:v>1</x:v>
      </x:c>
      <x:c r="I11" s="20" t="str">
        <x:v>High</x:v>
      </x:c>
      <x:c r="J11" s="20" t="str"/>
      <x:c r="K11" s="20" t="str"/>
      <x:c r="L11" s="20" t="str">
        <x:v>Not Started</x:v>
      </x:c>
      <x:c r="M11" s="20" t="n">
        <x:f>IF(L11="Completed",100,IF(L11="In Progress",50,0))</x:f>
        <x:v>0</x:v>
      </x:c>
      <x:c r="N11" s="20" t="str"/>
      <x:c r="O11" s="20" t="str"/>
      <x:c r="P11" s="20" t="str"/>
      <x:c r="Q11" s="20" t="str">
        <x:f>IF(OR(L11&lt;&gt;"Completed",P11=""),"",IF(P11&lt;4.5,"YES","NO"))</x:f>
      </x:c>
      <x:c r="R11" s="20" t="str"/>
    </x:row>
    <x:row r="12">
      <x:c r="A12" s="20" t="str">
        <x:v>T009</x:v>
      </x:c>
      <x:c r="B12" s="20" t="str">
        <x:v>2026-09-21</x:v>
      </x:c>
      <x:c r="C12" s="20" t="str">
        <x:v>W1</x:v>
      </x:c>
      <x:c r="D12" s="20" t="str">
        <x:v>1. Literature Review</x:v>
      </x:c>
      <x:c r="E12" s="20" t="str">
        <x:v>Literature Review</x:v>
      </x:c>
      <x:c r="F12" s="20" t="str">
        <x:v>Add the missing 2025–2026 CSE papers already identified to the Literature Survey Matrix</x:v>
      </x:c>
      <x:c r="G12" s="20" t="str">
        <x:v>Updated rows for missing CSE papers</x:v>
      </x:c>
      <x:c r="H12" s="20" t="n">
        <x:v>1</x:v>
      </x:c>
      <x:c r="I12" s="20" t="str">
        <x:v>High</x:v>
      </x:c>
      <x:c r="J12" s="20" t="str"/>
      <x:c r="K12" s="20" t="str"/>
      <x:c r="L12" s="20" t="str">
        <x:v>Not Started</x:v>
      </x:c>
      <x:c r="M12" s="20" t="n">
        <x:f>IF(L12="Completed",100,IF(L12="In Progress",50,0))</x:f>
        <x:v>0</x:v>
      </x:c>
      <x:c r="N12" s="20" t="str"/>
      <x:c r="O12" s="20" t="str"/>
      <x:c r="P12" s="20" t="str"/>
      <x:c r="Q12" s="20" t="str">
        <x:f>IF(OR(L12&lt;&gt;"Completed",P12=""),"",IF(P12&lt;4.5,"YES","NO"))</x:f>
      </x:c>
      <x:c r="R12" s="20" t="str"/>
    </x:row>
    <x:row r="13">
      <x:c r="A13" s="20" t="str">
        <x:v>T010</x:v>
      </x:c>
      <x:c r="B13" s="20" t="str">
        <x:v>2026-09-21</x:v>
      </x:c>
      <x:c r="C13" s="20" t="str">
        <x:v>W1</x:v>
      </x:c>
      <x:c r="D13" s="20" t="str">
        <x:v>3. PPRS Handout</x:v>
      </x:c>
      <x:c r="E13" s="20" t="str">
        <x:v>PPRS Handout</x:v>
      </x:c>
      <x:c r="F13" s="20" t="str">
        <x:v>Create the 15-page handout skeleton with all required headings</x:v>
      </x:c>
      <x:c r="G13" s="20" t="str">
        <x:v>Handout v0.1 structure</x:v>
      </x:c>
      <x:c r="H13" s="20" t="n">
        <x:v>0.75</x:v>
      </x:c>
      <x:c r="I13" s="20" t="str">
        <x:v>High</x:v>
      </x:c>
      <x:c r="J13" s="20" t="str"/>
      <x:c r="K13" s="20" t="str"/>
      <x:c r="L13" s="20" t="str">
        <x:v>Not Started</x:v>
      </x:c>
      <x:c r="M13" s="20" t="n">
        <x:f>IF(L13="Completed",100,IF(L13="In Progress",50,0))</x:f>
        <x:v>0</x:v>
      </x:c>
      <x:c r="N13" s="20" t="str"/>
      <x:c r="O13" s="20" t="str"/>
      <x:c r="P13" s="20" t="str"/>
      <x:c r="Q13" s="20" t="str">
        <x:f>IF(OR(L13&lt;&gt;"Completed",P13=""),"",IF(P13&lt;4.5,"YES","NO"))</x:f>
      </x:c>
      <x:c r="R13" s="20" t="str"/>
    </x:row>
    <x:row r="14">
      <x:c r="A14" s="20" t="str">
        <x:v>T011</x:v>
      </x:c>
      <x:c r="B14" s="20" t="str">
        <x:v>2026-09-21</x:v>
      </x:c>
      <x:c r="C14" s="20" t="str">
        <x:v>W1</x:v>
      </x:c>
      <x:c r="D14" s="20" t="str">
        <x:v>4. Proof of Concept</x:v>
      </x:c>
      <x:c r="E14" s="20" t="str">
        <x:v>PoC</x:v>
      </x:c>
      <x:c r="F14" s="20" t="str">
        <x:v>Create the PoC repository and folder structure</x:v>
      </x:c>
      <x:c r="G14" s="20" t="str">
        <x:v>Version-controlled PoC repository</x:v>
      </x:c>
      <x:c r="H14" s="20" t="n">
        <x:v>0.5</x:v>
      </x:c>
      <x:c r="I14" s="20" t="str">
        <x:v>High</x:v>
      </x:c>
      <x:c r="J14" s="20" t="str"/>
      <x:c r="K14" s="20" t="str"/>
      <x:c r="L14" s="20" t="str">
        <x:v>Not Started</x:v>
      </x:c>
      <x:c r="M14" s="20" t="n">
        <x:f>IF(L14="Completed",100,IF(L14="In Progress",50,0))</x:f>
        <x:v>0</x:v>
      </x:c>
      <x:c r="N14" s="20" t="str"/>
      <x:c r="O14" s="20" t="str"/>
      <x:c r="P14" s="20" t="str"/>
      <x:c r="Q14" s="20" t="str">
        <x:f>IF(OR(L14&lt;&gt;"Completed",P14=""),"",IF(P14&lt;4.5,"YES","NO"))</x:f>
      </x:c>
      <x:c r="R14" s="20" t="str"/>
    </x:row>
    <x:row r="15">
      <x:c r="A15" s="20" t="str">
        <x:v>T012</x:v>
      </x:c>
      <x:c r="B15" s="20" t="str">
        <x:v>2026-09-21</x:v>
      </x:c>
      <x:c r="C15" s="20" t="str">
        <x:v>W1</x:v>
      </x:c>
      <x:c r="D15" s="20" t="str">
        <x:v>2. Requirement Elicitation</x:v>
      </x:c>
      <x:c r="E15" s="20" t="str">
        <x:v>Requirement Elicitation</x:v>
      </x:c>
      <x:c r="F15" s="20" t="str">
        <x:v>Create the requirement-source list: literature, dataset constraints, supervisor feedback, technical feasibility</x:v>
      </x:c>
      <x:c r="G15" s="20" t="str">
        <x:v>Requirement source register</x:v>
      </x:c>
      <x:c r="H15" s="20" t="n">
        <x:v>0.75</x:v>
      </x:c>
      <x:c r="I15" s="20" t="str">
        <x:v>High</x:v>
      </x:c>
      <x:c r="J15" s="20" t="str"/>
      <x:c r="K15" s="20" t="str"/>
      <x:c r="L15" s="20" t="str">
        <x:v>Not Started</x:v>
      </x:c>
      <x:c r="M15" s="20" t="n">
        <x:f>IF(L15="Completed",100,IF(L15="In Progress",50,0))</x:f>
        <x:v>0</x:v>
      </x:c>
      <x:c r="N15" s="20" t="str"/>
      <x:c r="O15" s="20" t="str"/>
      <x:c r="P15" s="20" t="str"/>
      <x:c r="Q15" s="20" t="str">
        <x:f>IF(OR(L15&lt;&gt;"Completed",P15=""),"",IF(P15&lt;4.5,"YES","NO"))</x:f>
      </x:c>
      <x:c r="R15" s="20" t="str"/>
    </x:row>
    <x:row r="16">
      <x:c r="A16" s="20" t="str">
        <x:v>T013</x:v>
      </x:c>
      <x:c r="B16" s="20" t="str">
        <x:v>2026-09-22</x:v>
      </x:c>
      <x:c r="C16" s="20" t="str">
        <x:v>W1</x:v>
      </x:c>
      <x:c r="D16" s="20" t="str">
        <x:v>1. Literature Review</x:v>
      </x:c>
      <x:c r="E16" s="20" t="str">
        <x:v>Literature Review</x:v>
      </x:c>
      <x:c r="F16" s="20" t="str">
        <x:v>Read one missing CSE 2025–2026 paper in full and complete one matrix row</x:v>
      </x:c>
      <x:c r="G16" s="20" t="str">
        <x:v>1 completed literature row</x:v>
      </x:c>
      <x:c r="H16" s="20" t="n">
        <x:v>1.25</x:v>
      </x:c>
      <x:c r="I16" s="20" t="str">
        <x:v>High</x:v>
      </x:c>
      <x:c r="J16" s="20" t="str"/>
      <x:c r="K16" s="20" t="str"/>
      <x:c r="L16" s="20" t="str">
        <x:v>Not Started</x:v>
      </x:c>
      <x:c r="M16" s="20" t="n">
        <x:f>IF(L16="Completed",100,IF(L16="In Progress",50,0))</x:f>
        <x:v>0</x:v>
      </x:c>
      <x:c r="N16" s="20" t="str"/>
      <x:c r="O16" s="20" t="str"/>
      <x:c r="P16" s="20" t="str"/>
      <x:c r="Q16" s="20" t="str">
        <x:f>IF(OR(L16&lt;&gt;"Completed",P16=""),"",IF(P16&lt;4.5,"YES","NO"))</x:f>
      </x:c>
      <x:c r="R16" s="20" t="str"/>
    </x:row>
    <x:row r="17">
      <x:c r="A17" s="20" t="str">
        <x:v>T014</x:v>
      </x:c>
      <x:c r="B17" s="20" t="str">
        <x:v>2026-09-22</x:v>
      </x:c>
      <x:c r="C17" s="20" t="str">
        <x:v>W1</x:v>
      </x:c>
      <x:c r="D17" s="20" t="str">
        <x:v>3. PPRS Handout</x:v>
      </x:c>
      <x:c r="E17" s="20" t="str">
        <x:v>PPRS Handout</x:v>
      </x:c>
      <x:c r="F17" s="20" t="str">
        <x:v>Draft the Problem Background subsection</x:v>
      </x:c>
      <x:c r="G17" s="20" t="str">
        <x:v>Problem Background draft</x:v>
      </x:c>
      <x:c r="H17" s="20" t="n">
        <x:v>0.75</x:v>
      </x:c>
      <x:c r="I17" s="20" t="str">
        <x:v>High</x:v>
      </x:c>
      <x:c r="J17" s="20" t="str"/>
      <x:c r="K17" s="20" t="str"/>
      <x:c r="L17" s="20" t="str">
        <x:v>Not Started</x:v>
      </x:c>
      <x:c r="M17" s="20" t="n">
        <x:f>IF(L17="Completed",100,IF(L17="In Progress",50,0))</x:f>
        <x:v>0</x:v>
      </x:c>
      <x:c r="N17" s="20" t="str"/>
      <x:c r="O17" s="20" t="str"/>
      <x:c r="P17" s="20" t="str"/>
      <x:c r="Q17" s="20" t="str">
        <x:f>IF(OR(L17&lt;&gt;"Completed",P17=""),"",IF(P17&lt;4.5,"YES","NO"))</x:f>
      </x:c>
      <x:c r="R17" s="20" t="str"/>
    </x:row>
    <x:row r="18">
      <x:c r="A18" s="20" t="str">
        <x:v>T015</x:v>
      </x:c>
      <x:c r="B18" s="20" t="str">
        <x:v>2026-09-22</x:v>
      </x:c>
      <x:c r="C18" s="20" t="str">
        <x:v>W1</x:v>
      </x:c>
      <x:c r="D18" s="20" t="str">
        <x:v>4. Proof of Concept</x:v>
      </x:c>
      <x:c r="E18" s="20" t="str">
        <x:v>PoC</x:v>
      </x:c>
      <x:c r="F18" s="20" t="str">
        <x:v>Test access to one CSE historical market-data source and save a sample</x:v>
      </x:c>
      <x:c r="G18" s="20" t="str">
        <x:v>Sample OHLCV file</x:v>
      </x:c>
      <x:c r="H18" s="20" t="n">
        <x:v>0.25</x:v>
      </x:c>
      <x:c r="I18" s="20" t="str">
        <x:v>High</x:v>
      </x:c>
      <x:c r="J18" s="20" t="str"/>
      <x:c r="K18" s="20" t="str"/>
      <x:c r="L18" s="20" t="str">
        <x:v>Not Started</x:v>
      </x:c>
      <x:c r="M18" s="20" t="n">
        <x:f>IF(L18="Completed",100,IF(L18="In Progress",50,0))</x:f>
        <x:v>0</x:v>
      </x:c>
      <x:c r="N18" s="20" t="str"/>
      <x:c r="O18" s="20" t="str"/>
      <x:c r="P18" s="20" t="str"/>
      <x:c r="Q18" s="20" t="str">
        <x:f>IF(OR(L18&lt;&gt;"Completed",P18=""),"",IF(P18&lt;4.5,"YES","NO"))</x:f>
      </x:c>
      <x:c r="R18" s="20" t="str"/>
    </x:row>
    <x:row r="19">
      <x:c r="A19" s="20" t="str">
        <x:v>T016</x:v>
      </x:c>
      <x:c r="B19" s="20" t="str">
        <x:v>2026-09-22</x:v>
      </x:c>
      <x:c r="C19" s="20" t="str">
        <x:v>W1</x:v>
      </x:c>
      <x:c r="D19" s="20" t="str">
        <x:v>2. Requirement Elicitation</x:v>
      </x:c>
      <x:c r="E19" s="20" t="str">
        <x:v>Requirement Elicitation</x:v>
      </x:c>
      <x:c r="F19" s="20" t="str">
        <x:v>Extract functional requirements from the refined research gap and proposed methodology</x:v>
      </x:c>
      <x:c r="G19" s="20" t="str">
        <x:v>Draft functional requirements</x:v>
      </x:c>
      <x:c r="H19" s="20" t="n">
        <x:v>0.75</x:v>
      </x:c>
      <x:c r="I19" s="20" t="str">
        <x:v>High</x:v>
      </x:c>
      <x:c r="J19" s="20" t="str"/>
      <x:c r="K19" s="20" t="str"/>
      <x:c r="L19" s="20" t="str">
        <x:v>Not Started</x:v>
      </x:c>
      <x:c r="M19" s="20" t="n">
        <x:f>IF(L19="Completed",100,IF(L19="In Progress",50,0))</x:f>
        <x:v>0</x:v>
      </x:c>
      <x:c r="N19" s="20" t="str"/>
      <x:c r="O19" s="20" t="str"/>
      <x:c r="P19" s="20" t="str"/>
      <x:c r="Q19" s="20" t="str">
        <x:f>IF(OR(L19&lt;&gt;"Completed",P19=""),"",IF(P19&lt;4.5,"YES","NO"))</x:f>
      </x:c>
      <x:c r="R19" s="20" t="str"/>
    </x:row>
    <x:row r="20">
      <x:c r="A20" s="20" t="str">
        <x:v>T017</x:v>
      </x:c>
      <x:c r="B20" s="20" t="str">
        <x:v>2026-09-23</x:v>
      </x:c>
      <x:c r="C20" s="20" t="str">
        <x:v>W1</x:v>
      </x:c>
      <x:c r="D20" s="20" t="str">
        <x:v>1. Literature Review</x:v>
      </x:c>
      <x:c r="E20" s="20" t="str">
        <x:v>Literature Review</x:v>
      </x:c>
      <x:c r="F20" s="20" t="str">
        <x:v>Read one high-impact multi-agent finance paper and complete one matrix row</x:v>
      </x:c>
      <x:c r="G20" s="20" t="str">
        <x:v>1 completed literature row</x:v>
      </x:c>
      <x:c r="H20" s="20" t="n">
        <x:v>1.25</x:v>
      </x:c>
      <x:c r="I20" s="20" t="str">
        <x:v>High</x:v>
      </x:c>
      <x:c r="J20" s="20" t="str"/>
      <x:c r="K20" s="20" t="str"/>
      <x:c r="L20" s="20" t="str">
        <x:v>Not Started</x:v>
      </x:c>
      <x:c r="M20" s="20" t="n">
        <x:f>IF(L20="Completed",100,IF(L20="In Progress",50,0))</x:f>
        <x:v>0</x:v>
      </x:c>
      <x:c r="N20" s="20" t="str"/>
      <x:c r="O20" s="20" t="str"/>
      <x:c r="P20" s="20" t="str"/>
      <x:c r="Q20" s="20" t="str">
        <x:f>IF(OR(L20&lt;&gt;"Completed",P20=""),"",IF(P20&lt;4.5,"YES","NO"))</x:f>
      </x:c>
      <x:c r="R20" s="20" t="str"/>
    </x:row>
    <x:row r="21">
      <x:c r="A21" s="20" t="str">
        <x:v>T018</x:v>
      </x:c>
      <x:c r="B21" s="20" t="str">
        <x:v>2026-09-23</x:v>
      </x:c>
      <x:c r="C21" s="20" t="str">
        <x:v>W1</x:v>
      </x:c>
      <x:c r="D21" s="20" t="str">
        <x:v>3. PPRS Handout</x:v>
      </x:c>
      <x:c r="E21" s="20" t="str">
        <x:v>PPRS Handout</x:v>
      </x:c>
      <x:c r="F21" s="20" t="str">
        <x:v>Draft the Research Problem subsection</x:v>
      </x:c>
      <x:c r="G21" s="20" t="str">
        <x:v>Research Problem draft</x:v>
      </x:c>
      <x:c r="H21" s="20" t="n">
        <x:v>0.75</x:v>
      </x:c>
      <x:c r="I21" s="20" t="str">
        <x:v>High</x:v>
      </x:c>
      <x:c r="J21" s="20" t="str"/>
      <x:c r="K21" s="20" t="str"/>
      <x:c r="L21" s="20" t="str">
        <x:v>Not Started</x:v>
      </x:c>
      <x:c r="M21" s="20" t="n">
        <x:f>IF(L21="Completed",100,IF(L21="In Progress",50,0))</x:f>
        <x:v>0</x:v>
      </x:c>
      <x:c r="N21" s="20" t="str"/>
      <x:c r="O21" s="20" t="str"/>
      <x:c r="P21" s="20" t="str"/>
      <x:c r="Q21" s="20" t="str">
        <x:f>IF(OR(L21&lt;&gt;"Completed",P21=""),"",IF(P21&lt;4.5,"YES","NO"))</x:f>
      </x:c>
      <x:c r="R21" s="20" t="str"/>
    </x:row>
    <x:row r="22">
      <x:c r="A22" s="20" t="str">
        <x:v>T019</x:v>
      </x:c>
      <x:c r="B22" s="20" t="str">
        <x:v>2026-09-23</x:v>
      </x:c>
      <x:c r="C22" s="20" t="str">
        <x:v>W1</x:v>
      </x:c>
      <x:c r="D22" s="20" t="str">
        <x:v>4. Proof of Concept</x:v>
      </x:c>
      <x:c r="E22" s="20" t="str">
        <x:v>PoC</x:v>
      </x:c>
      <x:c r="F22" s="20" t="str">
        <x:v>Inspect OHLCV sample fields, date range and missing values</x:v>
      </x:c>
      <x:c r="G22" s="20" t="str">
        <x:v>Data inspection note</x:v>
      </x:c>
      <x:c r="H22" s="20" t="n">
        <x:v>0.25</x:v>
      </x:c>
      <x:c r="I22" s="20" t="str">
        <x:v>High</x:v>
      </x:c>
      <x:c r="J22" s="20" t="str"/>
      <x:c r="K22" s="20" t="str"/>
      <x:c r="L22" s="20" t="str">
        <x:v>Not Started</x:v>
      </x:c>
      <x:c r="M22" s="20" t="n">
        <x:f>IF(L22="Completed",100,IF(L22="In Progress",50,0))</x:f>
        <x:v>0</x:v>
      </x:c>
      <x:c r="N22" s="20" t="str"/>
      <x:c r="O22" s="20" t="str"/>
      <x:c r="P22" s="20" t="str"/>
      <x:c r="Q22" s="20" t="str">
        <x:f>IF(OR(L22&lt;&gt;"Completed",P22=""),"",IF(P22&lt;4.5,"YES","NO"))</x:f>
      </x:c>
      <x:c r="R22" s="20" t="str"/>
    </x:row>
    <x:row r="23">
      <x:c r="A23" s="20" t="str">
        <x:v>T020</x:v>
      </x:c>
      <x:c r="B23" s="20" t="str">
        <x:v>2026-09-23</x:v>
      </x:c>
      <x:c r="C23" s="20" t="str">
        <x:v>W1</x:v>
      </x:c>
      <x:c r="D23" s="20" t="str">
        <x:v>2. Requirement Elicitation</x:v>
      </x:c>
      <x:c r="E23" s="20" t="str">
        <x:v>Requirement Elicitation</x:v>
      </x:c>
      <x:c r="F23" s="20" t="str">
        <x:v>Extract non-functional requirements: reproducibility, modularity, traceability, data integrity, performance</x:v>
      </x:c>
      <x:c r="G23" s="20" t="str">
        <x:v>Draft non-functional requirements</x:v>
      </x:c>
      <x:c r="H23" s="20" t="n">
        <x:v>0.75</x:v>
      </x:c>
      <x:c r="I23" s="20" t="str">
        <x:v>High</x:v>
      </x:c>
      <x:c r="J23" s="20" t="str"/>
      <x:c r="K23" s="20" t="str"/>
      <x:c r="L23" s="20" t="str">
        <x:v>Not Started</x:v>
      </x:c>
      <x:c r="M23" s="20" t="n">
        <x:f>IF(L23="Completed",100,IF(L23="In Progress",50,0))</x:f>
        <x:v>0</x:v>
      </x:c>
      <x:c r="N23" s="20" t="str"/>
      <x:c r="O23" s="20" t="str"/>
      <x:c r="P23" s="20" t="str"/>
      <x:c r="Q23" s="20" t="str">
        <x:f>IF(OR(L23&lt;&gt;"Completed",P23=""),"",IF(P23&lt;4.5,"YES","NO"))</x:f>
      </x:c>
      <x:c r="R23" s="20" t="str"/>
    </x:row>
    <x:row r="24">
      <x:c r="A24" s="20" t="str">
        <x:v>T021</x:v>
      </x:c>
      <x:c r="B24" s="20" t="str">
        <x:v>2026-09-24</x:v>
      </x:c>
      <x:c r="C24" s="20" t="str">
        <x:v>W1</x:v>
      </x:c>
      <x:c r="D24" s="20" t="str">
        <x:v>1. Literature Review</x:v>
      </x:c>
      <x:c r="E24" s="20" t="str">
        <x:v>Literature Review</x:v>
      </x:c>
      <x:c r="F24" s="20" t="str">
        <x:v>Read one liquidity/execution-friction paper and complete one matrix row</x:v>
      </x:c>
      <x:c r="G24" s="20" t="str">
        <x:v>1 completed literature row</x:v>
      </x:c>
      <x:c r="H24" s="20" t="n">
        <x:v>1.25</x:v>
      </x:c>
      <x:c r="I24" s="20" t="str">
        <x:v>High</x:v>
      </x:c>
      <x:c r="J24" s="20" t="str"/>
      <x:c r="K24" s="20" t="str"/>
      <x:c r="L24" s="20" t="str">
        <x:v>Not Started</x:v>
      </x:c>
      <x:c r="M24" s="20" t="n">
        <x:f>IF(L24="Completed",100,IF(L24="In Progress",50,0))</x:f>
        <x:v>0</x:v>
      </x:c>
      <x:c r="N24" s="20" t="str"/>
      <x:c r="O24" s="20" t="str"/>
      <x:c r="P24" s="20" t="str"/>
      <x:c r="Q24" s="20" t="str">
        <x:f>IF(OR(L24&lt;&gt;"Completed",P24=""),"",IF(P24&lt;4.5,"YES","NO"))</x:f>
      </x:c>
      <x:c r="R24" s="20" t="str"/>
    </x:row>
    <x:row r="25">
      <x:c r="A25" s="20" t="str">
        <x:v>T022</x:v>
      </x:c>
      <x:c r="B25" s="20" t="str">
        <x:v>2026-09-24</x:v>
      </x:c>
      <x:c r="C25" s="20" t="str">
        <x:v>W1</x:v>
      </x:c>
      <x:c r="D25" s="20" t="str">
        <x:v>3. PPRS Handout</x:v>
      </x:c>
      <x:c r="E25" s="20" t="str">
        <x:v>PPRS Handout</x:v>
      </x:c>
      <x:c r="F25" s="20" t="str">
        <x:v>Draft the Task–Domain–Constraints subsection</x:v>
      </x:c>
      <x:c r="G25" s="20" t="str">
        <x:v>Task–Domain–Constraints draft</x:v>
      </x:c>
      <x:c r="H25" s="20" t="n">
        <x:v>0.5</x:v>
      </x:c>
      <x:c r="I25" s="20" t="str">
        <x:v>High</x:v>
      </x:c>
      <x:c r="J25" s="20" t="str"/>
      <x:c r="K25" s="20" t="str"/>
      <x:c r="L25" s="20" t="str">
        <x:v>Not Started</x:v>
      </x:c>
      <x:c r="M25" s="20" t="n">
        <x:f>IF(L25="Completed",100,IF(L25="In Progress",50,0))</x:f>
        <x:v>0</x:v>
      </x:c>
      <x:c r="N25" s="20" t="str"/>
      <x:c r="O25" s="20" t="str"/>
      <x:c r="P25" s="20" t="str"/>
      <x:c r="Q25" s="20" t="str">
        <x:f>IF(OR(L25&lt;&gt;"Completed",P25=""),"",IF(P25&lt;4.5,"YES","NO"))</x:f>
      </x:c>
      <x:c r="R25" s="20" t="str"/>
    </x:row>
    <x:row r="26">
      <x:c r="A26" s="20" t="str">
        <x:v>T023</x:v>
      </x:c>
      <x:c r="B26" s="20" t="str">
        <x:v>2026-09-24</x:v>
      </x:c>
      <x:c r="C26" s="20" t="str">
        <x:v>W1</x:v>
      </x:c>
      <x:c r="D26" s="20" t="str">
        <x:v>4. Proof of Concept</x:v>
      </x:c>
      <x:c r="E26" s="20" t="str">
        <x:v>PoC</x:v>
      </x:c>
      <x:c r="F26" s="20" t="str">
        <x:v>Implement market-data loader for one security</x:v>
      </x:c>
      <x:c r="G26" s="20" t="str">
        <x:v>Working data loader</x:v>
      </x:c>
      <x:c r="H26" s="20" t="n">
        <x:v>0.5</x:v>
      </x:c>
      <x:c r="I26" s="20" t="str">
        <x:v>High</x:v>
      </x:c>
      <x:c r="J26" s="20" t="str"/>
      <x:c r="K26" s="20" t="str"/>
      <x:c r="L26" s="20" t="str">
        <x:v>Not Started</x:v>
      </x:c>
      <x:c r="M26" s="20" t="n">
        <x:f>IF(L26="Completed",100,IF(L26="In Progress",50,0))</x:f>
        <x:v>0</x:v>
      </x:c>
      <x:c r="N26" s="20" t="str"/>
      <x:c r="O26" s="20" t="str"/>
      <x:c r="P26" s="20" t="str"/>
      <x:c r="Q26" s="20" t="str">
        <x:f>IF(OR(L26&lt;&gt;"Completed",P26=""),"",IF(P26&lt;4.5,"YES","NO"))</x:f>
      </x:c>
      <x:c r="R26" s="20" t="str"/>
    </x:row>
    <x:row r="27">
      <x:c r="A27" s="20" t="str">
        <x:v>T024</x:v>
      </x:c>
      <x:c r="B27" s="20" t="str">
        <x:v>2026-09-24</x:v>
      </x:c>
      <x:c r="C27" s="20" t="str">
        <x:v>W1</x:v>
      </x:c>
      <x:c r="D27" s="20" t="str">
        <x:v>2. Requirement Elicitation</x:v>
      </x:c>
      <x:c r="E27" s="20" t="str">
        <x:v>Requirement Elicitation</x:v>
      </x:c>
      <x:c r="F27" s="20" t="str">
        <x:v>Create requirement IDs and acceptance criteria for each functional requirement</x:v>
      </x:c>
      <x:c r="G27" s="20" t="str">
        <x:v>Functional requirements table</x:v>
      </x:c>
      <x:c r="H27" s="20" t="n">
        <x:v>0.75</x:v>
      </x:c>
      <x:c r="I27" s="20" t="str">
        <x:v>High</x:v>
      </x:c>
      <x:c r="J27" s="20" t="str"/>
      <x:c r="K27" s="20" t="str"/>
      <x:c r="L27" s="20" t="str">
        <x:v>Not Started</x:v>
      </x:c>
      <x:c r="M27" s="20" t="n">
        <x:f>IF(L27="Completed",100,IF(L27="In Progress",50,0))</x:f>
        <x:v>0</x:v>
      </x:c>
      <x:c r="N27" s="20" t="str"/>
      <x:c r="O27" s="20" t="str"/>
      <x:c r="P27" s="20" t="str"/>
      <x:c r="Q27" s="20" t="str">
        <x:f>IF(OR(L27&lt;&gt;"Completed",P27=""),"",IF(P27&lt;4.5,"YES","NO"))</x:f>
      </x:c>
      <x:c r="R27" s="20" t="str"/>
    </x:row>
    <x:row r="28">
      <x:c r="A28" s="20" t="str">
        <x:v>T025</x:v>
      </x:c>
      <x:c r="B28" s="20" t="str">
        <x:v>2026-09-25</x:v>
      </x:c>
      <x:c r="C28" s="20" t="str">
        <x:v>W1</x:v>
      </x:c>
      <x:c r="D28" s="20" t="str">
        <x:v>1. Literature Review</x:v>
      </x:c>
      <x:c r="E28" s="20" t="str">
        <x:v>Literature Review</x:v>
      </x:c>
      <x:c r="F28" s="20" t="str">
        <x:v>Read one volatility-memory/regime paper and complete one matrix row</x:v>
      </x:c>
      <x:c r="G28" s="20" t="str">
        <x:v>1 completed literature row</x:v>
      </x:c>
      <x:c r="H28" s="20" t="n">
        <x:v>1.25</x:v>
      </x:c>
      <x:c r="I28" s="20" t="str">
        <x:v>High</x:v>
      </x:c>
      <x:c r="J28" s="20" t="str"/>
      <x:c r="K28" s="20" t="str"/>
      <x:c r="L28" s="20" t="str">
        <x:v>Not Started</x:v>
      </x:c>
      <x:c r="M28" s="20" t="n">
        <x:f>IF(L28="Completed",100,IF(L28="In Progress",50,0))</x:f>
        <x:v>0</x:v>
      </x:c>
      <x:c r="N28" s="20" t="str"/>
      <x:c r="O28" s="20" t="str"/>
      <x:c r="P28" s="20" t="str"/>
      <x:c r="Q28" s="20" t="str">
        <x:f>IF(OR(L28&lt;&gt;"Completed",P28=""),"",IF(P28&lt;4.5,"YES","NO"))</x:f>
      </x:c>
      <x:c r="R28" s="20" t="str"/>
    </x:row>
    <x:row r="29">
      <x:c r="A29" s="20" t="str">
        <x:v>T026</x:v>
      </x:c>
      <x:c r="B29" s="20" t="str">
        <x:v>2026-09-25</x:v>
      </x:c>
      <x:c r="C29" s="20" t="str">
        <x:v>W1</x:v>
      </x:c>
      <x:c r="D29" s="20" t="str">
        <x:v>3. PPRS Handout</x:v>
      </x:c>
      <x:c r="E29" s="20" t="str">
        <x:v>PPRS Handout</x:v>
      </x:c>
      <x:c r="F29" s="20" t="str">
        <x:v>Draft the provisional Research Gap subsection</x:v>
      </x:c>
      <x:c r="G29" s="20" t="str">
        <x:v>Research Gap draft</x:v>
      </x:c>
      <x:c r="H29" s="20" t="n">
        <x:v>0.5</x:v>
      </x:c>
      <x:c r="I29" s="20" t="str">
        <x:v>High</x:v>
      </x:c>
      <x:c r="J29" s="20" t="str"/>
      <x:c r="K29" s="20" t="str"/>
      <x:c r="L29" s="20" t="str">
        <x:v>Not Started</x:v>
      </x:c>
      <x:c r="M29" s="20" t="n">
        <x:f>IF(L29="Completed",100,IF(L29="In Progress",50,0))</x:f>
        <x:v>0</x:v>
      </x:c>
      <x:c r="N29" s="20" t="str"/>
      <x:c r="O29" s="20" t="str"/>
      <x:c r="P29" s="20" t="str"/>
      <x:c r="Q29" s="20" t="str">
        <x:f>IF(OR(L29&lt;&gt;"Completed",P29=""),"",IF(P29&lt;4.5,"YES","NO"))</x:f>
      </x:c>
      <x:c r="R29" s="20" t="str"/>
    </x:row>
    <x:row r="30">
      <x:c r="A30" s="20" t="str">
        <x:v>T027</x:v>
      </x:c>
      <x:c r="B30" s="20" t="str">
        <x:v>2026-09-25</x:v>
      </x:c>
      <x:c r="C30" s="20" t="str">
        <x:v>W1</x:v>
      </x:c>
      <x:c r="D30" s="20" t="str">
        <x:v>4. Proof of Concept</x:v>
      </x:c>
      <x:c r="E30" s="20" t="str">
        <x:v>PoC</x:v>
      </x:c>
      <x:c r="F30" s="20" t="str">
        <x:v>Implement basic return calculation from OHLCV</x:v>
      </x:c>
      <x:c r="G30" s="20" t="str">
        <x:v>Return feature output</x:v>
      </x:c>
      <x:c r="H30" s="20" t="n">
        <x:v>0.5</x:v>
      </x:c>
      <x:c r="I30" s="20" t="str">
        <x:v>High</x:v>
      </x:c>
      <x:c r="J30" s="20" t="str"/>
      <x:c r="K30" s="20" t="str"/>
      <x:c r="L30" s="20" t="str">
        <x:v>Not Started</x:v>
      </x:c>
      <x:c r="M30" s="20" t="n">
        <x:f>IF(L30="Completed",100,IF(L30="In Progress",50,0))</x:f>
        <x:v>0</x:v>
      </x:c>
      <x:c r="N30" s="20" t="str"/>
      <x:c r="O30" s="20" t="str"/>
      <x:c r="P30" s="20" t="str"/>
      <x:c r="Q30" s="20" t="str">
        <x:f>IF(OR(L30&lt;&gt;"Completed",P30=""),"",IF(P30&lt;4.5,"YES","NO"))</x:f>
      </x:c>
      <x:c r="R30" s="20" t="str"/>
    </x:row>
    <x:row r="31">
      <x:c r="A31" s="20" t="str">
        <x:v>T028</x:v>
      </x:c>
      <x:c r="B31" s="20" t="str">
        <x:v>2026-09-25</x:v>
      </x:c>
      <x:c r="C31" s="20" t="str">
        <x:v>W1</x:v>
      </x:c>
      <x:c r="D31" s="20" t="str">
        <x:v>2. Requirement Elicitation</x:v>
      </x:c>
      <x:c r="E31" s="20" t="str">
        <x:v>Requirement Elicitation</x:v>
      </x:c>
      <x:c r="F31" s="20" t="str">
        <x:v>Create requirement IDs and acceptance criteria for each non-functional requirement</x:v>
      </x:c>
      <x:c r="G31" s="20" t="str">
        <x:v>Non-functional requirements table</x:v>
      </x:c>
      <x:c r="H31" s="20" t="n">
        <x:v>0.75</x:v>
      </x:c>
      <x:c r="I31" s="20" t="str">
        <x:v>High</x:v>
      </x:c>
      <x:c r="J31" s="20" t="str"/>
      <x:c r="K31" s="20" t="str"/>
      <x:c r="L31" s="20" t="str">
        <x:v>Not Started</x:v>
      </x:c>
      <x:c r="M31" s="20" t="n">
        <x:f>IF(L31="Completed",100,IF(L31="In Progress",50,0))</x:f>
        <x:v>0</x:v>
      </x:c>
      <x:c r="N31" s="20" t="str"/>
      <x:c r="O31" s="20" t="str"/>
      <x:c r="P31" s="20" t="str"/>
      <x:c r="Q31" s="20" t="str">
        <x:f>IF(OR(L31&lt;&gt;"Completed",P31=""),"",IF(P31&lt;4.5,"YES","NO"))</x:f>
      </x:c>
      <x:c r="R31" s="20" t="str"/>
    </x:row>
    <x:row r="32">
      <x:c r="A32" s="20" t="str">
        <x:v>T029</x:v>
      </x:c>
      <x:c r="B32" s="20" t="str">
        <x:v>2026-09-26</x:v>
      </x:c>
      <x:c r="C32" s="20" t="str">
        <x:v>W1</x:v>
      </x:c>
      <x:c r="D32" s="20" t="str">
        <x:v>1. Literature Review</x:v>
      </x:c>
      <x:c r="E32" s="20" t="str">
        <x:v>Literature Review</x:v>
      </x:c>
      <x:c r="F32" s="20" t="str">
        <x:v>Consolidate duplicate/overlapping literature findings into thematic notes</x:v>
      </x:c>
      <x:c r="G32" s="20" t="str">
        <x:v>Thematic synthesis notes</x:v>
      </x:c>
      <x:c r="H32" s="20" t="n">
        <x:v>1.5</x:v>
      </x:c>
      <x:c r="I32" s="20" t="str">
        <x:v>High</x:v>
      </x:c>
      <x:c r="J32" s="20" t="str"/>
      <x:c r="K32" s="20" t="str"/>
      <x:c r="L32" s="20" t="str">
        <x:v>Not Started</x:v>
      </x:c>
      <x:c r="M32" s="20" t="n">
        <x:f>IF(L32="Completed",100,IF(L32="In Progress",50,0))</x:f>
        <x:v>0</x:v>
      </x:c>
      <x:c r="N32" s="20" t="str"/>
      <x:c r="O32" s="20" t="str"/>
      <x:c r="P32" s="20" t="str"/>
      <x:c r="Q32" s="20" t="str">
        <x:f>IF(OR(L32&lt;&gt;"Completed",P32=""),"",IF(P32&lt;4.5,"YES","NO"))</x:f>
      </x:c>
      <x:c r="R32" s="20" t="str"/>
    </x:row>
    <x:row r="33">
      <x:c r="A33" s="20" t="str">
        <x:v>T030</x:v>
      </x:c>
      <x:c r="B33" s="20" t="str">
        <x:v>2026-09-26</x:v>
      </x:c>
      <x:c r="C33" s="20" t="str">
        <x:v>W1</x:v>
      </x:c>
      <x:c r="D33" s="20" t="str">
        <x:v>3. PPRS Handout</x:v>
      </x:c>
      <x:c r="E33" s="20" t="str">
        <x:v>PPRS Handout</x:v>
      </x:c>
      <x:c r="F33" s="20" t="str">
        <x:v>Draft the provisional Aim, RQs and Objectives section</x:v>
      </x:c>
      <x:c r="G33" s="20" t="str">
        <x:v>Aim/RQs/Objectives v0.1</x:v>
      </x:c>
      <x:c r="H33" s="20" t="n">
        <x:v>0.75</x:v>
      </x:c>
      <x:c r="I33" s="20" t="str">
        <x:v>High</x:v>
      </x:c>
      <x:c r="J33" s="20" t="str"/>
      <x:c r="K33" s="20" t="str"/>
      <x:c r="L33" s="20" t="str">
        <x:v>Not Started</x:v>
      </x:c>
      <x:c r="M33" s="20" t="n">
        <x:f>IF(L33="Completed",100,IF(L33="In Progress",50,0))</x:f>
        <x:v>0</x:v>
      </x:c>
      <x:c r="N33" s="20" t="str"/>
      <x:c r="O33" s="20" t="str"/>
      <x:c r="P33" s="20" t="str"/>
      <x:c r="Q33" s="20" t="str">
        <x:f>IF(OR(L33&lt;&gt;"Completed",P33=""),"",IF(P33&lt;4.5,"YES","NO"))</x:f>
      </x:c>
      <x:c r="R33" s="20" t="str"/>
    </x:row>
    <x:row r="34">
      <x:c r="A34" s="20" t="str">
        <x:v>T031</x:v>
      </x:c>
      <x:c r="B34" s="20" t="str">
        <x:v>2026-09-26</x:v>
      </x:c>
      <x:c r="C34" s="20" t="str">
        <x:v>W1</x:v>
      </x:c>
      <x:c r="D34" s="20" t="str">
        <x:v>4. Proof of Concept</x:v>
      </x:c>
      <x:c r="E34" s="20" t="str">
        <x:v>PoC</x:v>
      </x:c>
      <x:c r="F34" s="20" t="str">
        <x:v>Implement rolling volatility feature</x:v>
      </x:c>
      <x:c r="G34" s="20" t="str">
        <x:v>Rolling volatility output</x:v>
      </x:c>
      <x:c r="H34" s="20" t="n">
        <x:v>1</x:v>
      </x:c>
      <x:c r="I34" s="20" t="str">
        <x:v>High</x:v>
      </x:c>
      <x:c r="J34" s="20" t="str"/>
      <x:c r="K34" s="20" t="str"/>
      <x:c r="L34" s="20" t="str">
        <x:v>Not Started</x:v>
      </x:c>
      <x:c r="M34" s="20" t="n">
        <x:f>IF(L34="Completed",100,IF(L34="In Progress",50,0))</x:f>
        <x:v>0</x:v>
      </x:c>
      <x:c r="N34" s="20" t="str"/>
      <x:c r="O34" s="20" t="str"/>
      <x:c r="P34" s="20" t="str"/>
      <x:c r="Q34" s="20" t="str">
        <x:f>IF(OR(L34&lt;&gt;"Completed",P34=""),"",IF(P34&lt;4.5,"YES","NO"))</x:f>
      </x:c>
      <x:c r="R34" s="20" t="str"/>
    </x:row>
    <x:row r="35">
      <x:c r="A35" s="20" t="str">
        <x:v>T032</x:v>
      </x:c>
      <x:c r="B35" s="20" t="str">
        <x:v>2026-09-26</x:v>
      </x:c>
      <x:c r="C35" s="20" t="str">
        <x:v>W1</x:v>
      </x:c>
      <x:c r="D35" s="20" t="str">
        <x:v>2. Requirement Elicitation</x:v>
      </x:c>
      <x:c r="E35" s="20" t="str">
        <x:v>Requirement Elicitation</x:v>
      </x:c>
      <x:c r="F35" s="20" t="str">
        <x:v>Prioritise requirements using Must/Should/Could</x:v>
      </x:c>
      <x:c r="G35" s="20" t="str">
        <x:v>Prioritised requirements list</x:v>
      </x:c>
      <x:c r="H35" s="20" t="n">
        <x:v>0.75</x:v>
      </x:c>
      <x:c r="I35" s="20" t="str">
        <x:v>High</x:v>
      </x:c>
      <x:c r="J35" s="20" t="str"/>
      <x:c r="K35" s="20" t="str"/>
      <x:c r="L35" s="20" t="str">
        <x:v>Not Started</x:v>
      </x:c>
      <x:c r="M35" s="20" t="n">
        <x:f>IF(L35="Completed",100,IF(L35="In Progress",50,0))</x:f>
        <x:v>0</x:v>
      </x:c>
      <x:c r="N35" s="20" t="str"/>
      <x:c r="O35" s="20" t="str"/>
      <x:c r="P35" s="20" t="str"/>
      <x:c r="Q35" s="20" t="str">
        <x:f>IF(OR(L35&lt;&gt;"Completed",P35=""),"",IF(P35&lt;4.5,"YES","NO"))</x:f>
      </x:c>
      <x:c r="R35" s="20" t="str"/>
    </x:row>
    <x:row r="36">
      <x:c r="A36" s="20" t="str">
        <x:v>T033</x:v>
      </x:c>
      <x:c r="B36" s="20" t="str">
        <x:v>2026-09-27</x:v>
      </x:c>
      <x:c r="C36" s="20" t="str">
        <x:v>W1</x:v>
      </x:c>
      <x:c r="D36" s="20" t="str">
        <x:v>1. Literature Review</x:v>
      </x:c>
      <x:c r="E36" s="20" t="str">
        <x:v>Literature Review</x:v>
      </x:c>
      <x:c r="F36" s="20" t="str">
        <x:v>Write thematic synthesis for liquidity/execution friction</x:v>
      </x:c>
      <x:c r="G36" s="20" t="str">
        <x:v>Theme synthesis: liquidity/friction</x:v>
      </x:c>
      <x:c r="H36" s="20" t="n">
        <x:v>1.5</x:v>
      </x:c>
      <x:c r="I36" s="20" t="str">
        <x:v>High</x:v>
      </x:c>
      <x:c r="J36" s="20" t="str"/>
      <x:c r="K36" s="20" t="str"/>
      <x:c r="L36" s="20" t="str">
        <x:v>Not Started</x:v>
      </x:c>
      <x:c r="M36" s="20" t="n">
        <x:f>IF(L36="Completed",100,IF(L36="In Progress",50,0))</x:f>
        <x:v>0</x:v>
      </x:c>
      <x:c r="N36" s="20" t="str"/>
      <x:c r="O36" s="20" t="str"/>
      <x:c r="P36" s="20" t="str"/>
      <x:c r="Q36" s="20" t="str">
        <x:f>IF(OR(L36&lt;&gt;"Completed",P36=""),"",IF(P36&lt;4.5,"YES","NO"))</x:f>
      </x:c>
      <x:c r="R36" s="20" t="str"/>
    </x:row>
    <x:row r="37">
      <x:c r="A37" s="20" t="str">
        <x:v>T034</x:v>
      </x:c>
      <x:c r="B37" s="20" t="str">
        <x:v>2026-09-27</x:v>
      </x:c>
      <x:c r="C37" s="20" t="str">
        <x:v>W1</x:v>
      </x:c>
      <x:c r="D37" s="20" t="str">
        <x:v>1. Literature Review</x:v>
      </x:c>
      <x:c r="E37" s="20" t="str">
        <x:v>Literature Review</x:v>
      </x:c>
      <x:c r="F37" s="20" t="str">
        <x:v>Write thematic synthesis for multi-agent financial systems</x:v>
      </x:c>
      <x:c r="G37" s="20" t="str">
        <x:v>Theme synthesis: multi-agent finance</x:v>
      </x:c>
      <x:c r="H37" s="20" t="n">
        <x:v>1.5</x:v>
      </x:c>
      <x:c r="I37" s="20" t="str">
        <x:v>High</x:v>
      </x:c>
      <x:c r="J37" s="20" t="str"/>
      <x:c r="K37" s="20" t="str"/>
      <x:c r="L37" s="20" t="str">
        <x:v>Not Started</x:v>
      </x:c>
      <x:c r="M37" s="20" t="n">
        <x:f>IF(L37="Completed",100,IF(L37="In Progress",50,0))</x:f>
        <x:v>0</x:v>
      </x:c>
      <x:c r="N37" s="20" t="str"/>
      <x:c r="O37" s="20" t="str"/>
      <x:c r="P37" s="20" t="str"/>
      <x:c r="Q37" s="20" t="str">
        <x:f>IF(OR(L37&lt;&gt;"Completed",P37=""),"",IF(P37&lt;4.5,"YES","NO"))</x:f>
      </x:c>
      <x:c r="R37" s="20" t="str"/>
    </x:row>
    <x:row r="38">
      <x:c r="A38" s="20" t="str">
        <x:v>T035</x:v>
      </x:c>
      <x:c r="B38" s="20" t="str">
        <x:v>2026-09-27</x:v>
      </x:c>
      <x:c r="C38" s="20" t="str">
        <x:v>W1</x:v>
      </x:c>
      <x:c r="D38" s="20" t="str">
        <x:v>3. PPRS Handout</x:v>
      </x:c>
      <x:c r="E38" s="20" t="str">
        <x:v>PPRS Handout</x:v>
      </x:c>
      <x:c r="F38" s="20" t="str">
        <x:v>Integrate Week 1 research-problem, gap, aim, RQ and objective drafts into handout</x:v>
      </x:c>
      <x:c r="G38" s="20" t="str">
        <x:v>Handout v0.2</x:v>
      </x:c>
      <x:c r="H38" s="20" t="n">
        <x:v>1.5</x:v>
      </x:c>
      <x:c r="I38" s="20" t="str">
        <x:v>High</x:v>
      </x:c>
      <x:c r="J38" s="20" t="str"/>
      <x:c r="K38" s="20" t="str"/>
      <x:c r="L38" s="20" t="str">
        <x:v>Not Started</x:v>
      </x:c>
      <x:c r="M38" s="20" t="n">
        <x:f>IF(L38="Completed",100,IF(L38="In Progress",50,0))</x:f>
        <x:v>0</x:v>
      </x:c>
      <x:c r="N38" s="20" t="str"/>
      <x:c r="O38" s="20" t="str"/>
      <x:c r="P38" s="20" t="str"/>
      <x:c r="Q38" s="20" t="str">
        <x:f>IF(OR(L38&lt;&gt;"Completed",P38=""),"",IF(P38&lt;4.5,"YES","NO"))</x:f>
      </x:c>
      <x:c r="R38" s="20" t="str"/>
    </x:row>
    <x:row r="39">
      <x:c r="A39" s="20" t="str">
        <x:v>T036</x:v>
      </x:c>
      <x:c r="B39" s="20" t="str">
        <x:v>2026-09-27</x:v>
      </x:c>
      <x:c r="C39" s="20" t="str">
        <x:v>W1</x:v>
      </x:c>
      <x:c r="D39" s="20" t="str">
        <x:v>4. Proof of Concept</x:v>
      </x:c>
      <x:c r="E39" s="20" t="str">
        <x:v>PoC</x:v>
      </x:c>
      <x:c r="F39" s="20" t="str">
        <x:v>Implement turnover/relative-volume liquidity features from available sample</x:v>
      </x:c>
      <x:c r="G39" s="20" t="str">
        <x:v>Liquidity feature output</x:v>
      </x:c>
      <x:c r="H39" s="20" t="n">
        <x:v>1.5</x:v>
      </x:c>
      <x:c r="I39" s="20" t="str">
        <x:v>High</x:v>
      </x:c>
      <x:c r="J39" s="20" t="str"/>
      <x:c r="K39" s="20" t="str"/>
      <x:c r="L39" s="20" t="str">
        <x:v>Not Started</x:v>
      </x:c>
      <x:c r="M39" s="20" t="n">
        <x:f>IF(L39="Completed",100,IF(L39="In Progress",50,0))</x:f>
        <x:v>0</x:v>
      </x:c>
      <x:c r="N39" s="20" t="str"/>
      <x:c r="O39" s="20" t="str"/>
      <x:c r="P39" s="20" t="str"/>
      <x:c r="Q39" s="20" t="str">
        <x:f>IF(OR(L39&lt;&gt;"Completed",P39=""),"",IF(P39&lt;4.5,"YES","NO"))</x:f>
      </x:c>
      <x:c r="R39" s="20" t="str"/>
    </x:row>
    <x:row r="40">
      <x:c r="A40" s="20" t="str">
        <x:v>T037</x:v>
      </x:c>
      <x:c r="B40" s="20" t="str">
        <x:v>2026-09-27</x:v>
      </x:c>
      <x:c r="C40" s="20" t="str">
        <x:v>W1</x:v>
      </x:c>
      <x:c r="D40" s="20" t="str">
        <x:v>Supporting / QA</x:v>
      </x:c>
      <x:c r="E40" s="20" t="str">
        <x:v>Project Control</x:v>
      </x:c>
      <x:c r="F40" s="20" t="str">
        <x:v>Run Week 1 quality audit against the 4.5/5 threshold</x:v>
      </x:c>
      <x:c r="G40" s="20" t="str">
        <x:v>Week 1 audit</x:v>
      </x:c>
      <x:c r="H40" s="20" t="n">
        <x:v>1</x:v>
      </x:c>
      <x:c r="I40" s="20" t="str">
        <x:v>High</x:v>
      </x:c>
      <x:c r="J40" s="20" t="str"/>
      <x:c r="K40" s="20" t="str"/>
      <x:c r="L40" s="20" t="str">
        <x:v>Not Started</x:v>
      </x:c>
      <x:c r="M40" s="20" t="n">
        <x:f>IF(L40="Completed",100,IF(L40="In Progress",50,0))</x:f>
        <x:v>0</x:v>
      </x:c>
      <x:c r="N40" s="20" t="str"/>
      <x:c r="O40" s="20" t="str"/>
      <x:c r="P40" s="20" t="str"/>
      <x:c r="Q40" s="20" t="str">
        <x:f>IF(OR(L40&lt;&gt;"Completed",P40=""),"",IF(P40&lt;4.5,"YES","NO"))</x:f>
      </x:c>
      <x:c r="R40" s="20" t="str"/>
    </x:row>
    <x:row r="41">
      <x:c r="A41" s="20" t="str">
        <x:v>T038</x:v>
      </x:c>
      <x:c r="B41" s="20" t="str">
        <x:v>2026-09-27</x:v>
      </x:c>
      <x:c r="C41" s="20" t="str">
        <x:v>W1</x:v>
      </x:c>
      <x:c r="D41" s="20" t="str">
        <x:v>2. Requirement Elicitation</x:v>
      </x:c>
      <x:c r="E41" s="20" t="str">
        <x:v>Requirement Elicitation</x:v>
      </x:c>
      <x:c r="F41" s="20" t="str">
        <x:v>Review all elicited requirements against the main gap; remove application-only requirements</x:v>
      </x:c>
      <x:c r="G41" s="20" t="str">
        <x:v>Clean requirement set</x:v>
      </x:c>
      <x:c r="H41" s="20" t="n">
        <x:v>1</x:v>
      </x:c>
      <x:c r="I41" s="20" t="str">
        <x:v>High</x:v>
      </x:c>
      <x:c r="J41" s="20" t="str"/>
      <x:c r="K41" s="20" t="str"/>
      <x:c r="L41" s="20" t="str">
        <x:v>Not Started</x:v>
      </x:c>
      <x:c r="M41" s="20" t="n">
        <x:f>IF(L41="Completed",100,IF(L41="In Progress",50,0))</x:f>
        <x:v>0</x:v>
      </x:c>
      <x:c r="N41" s="20" t="str"/>
      <x:c r="O41" s="20" t="str"/>
      <x:c r="P41" s="20" t="str"/>
      <x:c r="Q41" s="20" t="str">
        <x:f>IF(OR(L41&lt;&gt;"Completed",P41=""),"",IF(P41&lt;4.5,"YES","NO"))</x:f>
      </x:c>
      <x:c r="R41" s="20" t="str"/>
    </x:row>
    <x:row r="42">
      <x:c r="A42" s="20" t="str">
        <x:v>T039</x:v>
      </x:c>
      <x:c r="B42" s="20" t="str">
        <x:v>2026-09-28</x:v>
      </x:c>
      <x:c r="C42" s="20" t="str">
        <x:v>W2</x:v>
      </x:c>
      <x:c r="D42" s="20" t="str">
        <x:v>1. Literature Review</x:v>
      </x:c>
      <x:c r="E42" s="20" t="str">
        <x:v>Literature Review</x:v>
      </x:c>
      <x:c r="F42" s="20" t="str">
        <x:v>Write thematic synthesis for volatility memory and regimes</x:v>
      </x:c>
      <x:c r="G42" s="20" t="str">
        <x:v>Theme synthesis: volatility</x:v>
      </x:c>
      <x:c r="H42" s="20" t="n">
        <x:v>1</x:v>
      </x:c>
      <x:c r="I42" s="20" t="str">
        <x:v>High</x:v>
      </x:c>
      <x:c r="J42" s="20" t="str"/>
      <x:c r="K42" s="20" t="str"/>
      <x:c r="L42" s="20" t="str">
        <x:v>Not Started</x:v>
      </x:c>
      <x:c r="M42" s="20" t="n">
        <x:f>IF(L42="Completed",100,IF(L42="In Progress",50,0))</x:f>
        <x:v>0</x:v>
      </x:c>
      <x:c r="N42" s="20" t="str"/>
      <x:c r="O42" s="20" t="str"/>
      <x:c r="P42" s="20" t="str"/>
      <x:c r="Q42" s="20" t="str">
        <x:f>IF(OR(L42&lt;&gt;"Completed",P42=""),"",IF(P42&lt;4.5,"YES","NO"))</x:f>
      </x:c>
      <x:c r="R42" s="20" t="str"/>
    </x:row>
    <x:row r="43">
      <x:c r="A43" s="20" t="str">
        <x:v>T040</x:v>
      </x:c>
      <x:c r="B43" s="20" t="str">
        <x:v>2026-09-28</x:v>
      </x:c>
      <x:c r="C43" s="20" t="str">
        <x:v>W2</x:v>
      </x:c>
      <x:c r="D43" s="20" t="str">
        <x:v>3. PPRS Handout</x:v>
      </x:c>
      <x:c r="E43" s="20" t="str">
        <x:v>PPRS Handout</x:v>
      </x:c>
      <x:c r="F43" s="20" t="str">
        <x:v>Draft Introduction opening and research motivation</x:v>
      </x:c>
      <x:c r="G43" s="20" t="str">
        <x:v>Introduction v0.1</x:v>
      </x:c>
      <x:c r="H43" s="20" t="n">
        <x:v>0.75</x:v>
      </x:c>
      <x:c r="I43" s="20" t="str">
        <x:v>High</x:v>
      </x:c>
      <x:c r="J43" s="20" t="str"/>
      <x:c r="K43" s="20" t="str"/>
      <x:c r="L43" s="20" t="str">
        <x:v>Not Started</x:v>
      </x:c>
      <x:c r="M43" s="20" t="n">
        <x:f>IF(L43="Completed",100,IF(L43="In Progress",50,0))</x:f>
        <x:v>0</x:v>
      </x:c>
      <x:c r="N43" s="20" t="str"/>
      <x:c r="O43" s="20" t="str"/>
      <x:c r="P43" s="20" t="str"/>
      <x:c r="Q43" s="20" t="str">
        <x:f>IF(OR(L43&lt;&gt;"Completed",P43=""),"",IF(P43&lt;4.5,"YES","NO"))</x:f>
      </x:c>
      <x:c r="R43" s="20" t="str"/>
    </x:row>
    <x:row r="44">
      <x:c r="A44" s="20" t="str">
        <x:v>T041</x:v>
      </x:c>
      <x:c r="B44" s="20" t="str">
        <x:v>2026-09-28</x:v>
      </x:c>
      <x:c r="C44" s="20" t="str">
        <x:v>W2</x:v>
      </x:c>
      <x:c r="D44" s="20" t="str">
        <x:v>4. Proof of Concept</x:v>
      </x:c>
      <x:c r="E44" s="20" t="str">
        <x:v>PoC</x:v>
      </x:c>
      <x:c r="F44" s="20" t="str">
        <x:v>Implement Amihud-style illiquidity proxy where trading value is available</x:v>
      </x:c>
      <x:c r="G44" s="20" t="str">
        <x:v>Illiquidity feature output</x:v>
      </x:c>
      <x:c r="H44" s="20" t="n">
        <x:v>0.5</x:v>
      </x:c>
      <x:c r="I44" s="20" t="str">
        <x:v>High</x:v>
      </x:c>
      <x:c r="J44" s="20" t="str"/>
      <x:c r="K44" s="20" t="str"/>
      <x:c r="L44" s="20" t="str">
        <x:v>Not Started</x:v>
      </x:c>
      <x:c r="M44" s="20" t="n">
        <x:f>IF(L44="Completed",100,IF(L44="In Progress",50,0))</x:f>
        <x:v>0</x:v>
      </x:c>
      <x:c r="N44" s="20" t="str"/>
      <x:c r="O44" s="20" t="str"/>
      <x:c r="P44" s="20" t="str"/>
      <x:c r="Q44" s="20" t="str">
        <x:f>IF(OR(L44&lt;&gt;"Completed",P44=""),"",IF(P44&lt;4.5,"YES","NO"))</x:f>
      </x:c>
      <x:c r="R44" s="20" t="str"/>
    </x:row>
    <x:row r="45">
      <x:c r="A45" s="20" t="str">
        <x:v>T042</x:v>
      </x:c>
      <x:c r="B45" s="20" t="str">
        <x:v>2026-09-28</x:v>
      </x:c>
      <x:c r="C45" s="20" t="str">
        <x:v>W2</x:v>
      </x:c>
      <x:c r="D45" s="20" t="str">
        <x:v>2. Requirement Elicitation</x:v>
      </x:c>
      <x:c r="E45" s="20" t="str">
        <x:v>Requirement Elicitation</x:v>
      </x:c>
      <x:c r="F45" s="20" t="str">
        <x:v>Map every requirement to a research objective or experimental need</x:v>
      </x:c>
      <x:c r="G45" s="20" t="str">
        <x:v>Requirement traceability matrix</x:v>
      </x:c>
      <x:c r="H45" s="20" t="n">
        <x:v>0.75</x:v>
      </x:c>
      <x:c r="I45" s="20" t="str">
        <x:v>High</x:v>
      </x:c>
      <x:c r="J45" s="20" t="str"/>
      <x:c r="K45" s="20" t="str"/>
      <x:c r="L45" s="20" t="str">
        <x:v>Not Started</x:v>
      </x:c>
      <x:c r="M45" s="20" t="n">
        <x:f>IF(L45="Completed",100,IF(L45="In Progress",50,0))</x:f>
        <x:v>0</x:v>
      </x:c>
      <x:c r="N45" s="20" t="str"/>
      <x:c r="O45" s="20" t="str"/>
      <x:c r="P45" s="20" t="str"/>
      <x:c r="Q45" s="20" t="str">
        <x:f>IF(OR(L45&lt;&gt;"Completed",P45=""),"",IF(P45&lt;4.5,"YES","NO"))</x:f>
      </x:c>
      <x:c r="R45" s="20" t="str"/>
    </x:row>
    <x:row r="46">
      <x:c r="A46" s="20" t="str">
        <x:v>T043</x:v>
      </x:c>
      <x:c r="B46" s="20" t="str">
        <x:v>2026-09-29</x:v>
      </x:c>
      <x:c r="C46" s="20" t="str">
        <x:v>W2</x:v>
      </x:c>
      <x:c r="D46" s="20" t="str">
        <x:v>1. Literature Review</x:v>
      </x:c>
      <x:c r="E46" s="20" t="str">
        <x:v>Literature Review</x:v>
      </x:c>
      <x:c r="F46" s="20" t="str">
        <x:v>Read one high-impact state-aware orchestration paper and complete one matrix row</x:v>
      </x:c>
      <x:c r="G46" s="20" t="str">
        <x:v>1 completed literature row</x:v>
      </x:c>
      <x:c r="H46" s="20" t="n">
        <x:v>1</x:v>
      </x:c>
      <x:c r="I46" s="20" t="str">
        <x:v>High</x:v>
      </x:c>
      <x:c r="J46" s="20" t="str"/>
      <x:c r="K46" s="20" t="str"/>
      <x:c r="L46" s="20" t="str">
        <x:v>Not Started</x:v>
      </x:c>
      <x:c r="M46" s="20" t="n">
        <x:f>IF(L46="Completed",100,IF(L46="In Progress",50,0))</x:f>
        <x:v>0</x:v>
      </x:c>
      <x:c r="N46" s="20" t="str"/>
      <x:c r="O46" s="20" t="str"/>
      <x:c r="P46" s="20" t="str"/>
      <x:c r="Q46" s="20" t="str">
        <x:f>IF(OR(L46&lt;&gt;"Completed",P46=""),"",IF(P46&lt;4.5,"YES","NO"))</x:f>
      </x:c>
      <x:c r="R46" s="20" t="str"/>
    </x:row>
    <x:row r="47">
      <x:c r="A47" s="20" t="str">
        <x:v>T044</x:v>
      </x:c>
      <x:c r="B47" s="20" t="str">
        <x:v>2026-09-29</x:v>
      </x:c>
      <x:c r="C47" s="20" t="str">
        <x:v>W2</x:v>
      </x:c>
      <x:c r="D47" s="20" t="str">
        <x:v>3. PPRS Handout</x:v>
      </x:c>
      <x:c r="E47" s="20" t="str">
        <x:v>PPRS Handout</x:v>
      </x:c>
      <x:c r="F47" s="20" t="str">
        <x:v>Draft Literature Review theme 1: multi-agent orchestration</x:v>
      </x:c>
      <x:c r="G47" s="20" t="str">
        <x:v>LR theme 1 draft</x:v>
      </x:c>
      <x:c r="H47" s="20" t="n">
        <x:v>0.75</x:v>
      </x:c>
      <x:c r="I47" s="20" t="str">
        <x:v>High</x:v>
      </x:c>
      <x:c r="J47" s="20" t="str"/>
      <x:c r="K47" s="20" t="str"/>
      <x:c r="L47" s="20" t="str">
        <x:v>Not Started</x:v>
      </x:c>
      <x:c r="M47" s="20" t="n">
        <x:f>IF(L47="Completed",100,IF(L47="In Progress",50,0))</x:f>
        <x:v>0</x:v>
      </x:c>
      <x:c r="N47" s="20" t="str"/>
      <x:c r="O47" s="20" t="str"/>
      <x:c r="P47" s="20" t="str"/>
      <x:c r="Q47" s="20" t="str">
        <x:f>IF(OR(L47&lt;&gt;"Completed",P47=""),"",IF(P47&lt;4.5,"YES","NO"))</x:f>
      </x:c>
      <x:c r="R47" s="20" t="str"/>
    </x:row>
    <x:row r="48">
      <x:c r="A48" s="20" t="str">
        <x:v>T045</x:v>
      </x:c>
      <x:c r="B48" s="20" t="str">
        <x:v>2026-09-29</x:v>
      </x:c>
      <x:c r="C48" s="20" t="str">
        <x:v>W2</x:v>
      </x:c>
      <x:c r="D48" s="20" t="str">
        <x:v>4. Proof of Concept</x:v>
      </x:c>
      <x:c r="E48" s="20" t="str">
        <x:v>PoC</x:v>
      </x:c>
      <x:c r="F48" s="20" t="str">
        <x:v>Create market-state feature table for one security</x:v>
      </x:c>
      <x:c r="G48" s="20" t="str">
        <x:v>Market-state table</x:v>
      </x:c>
      <x:c r="H48" s="20" t="n">
        <x:v>0.5</x:v>
      </x:c>
      <x:c r="I48" s="20" t="str">
        <x:v>High</x:v>
      </x:c>
      <x:c r="J48" s="20" t="str"/>
      <x:c r="K48" s="20" t="str"/>
      <x:c r="L48" s="20" t="str">
        <x:v>Not Started</x:v>
      </x:c>
      <x:c r="M48" s="20" t="n">
        <x:f>IF(L48="Completed",100,IF(L48="In Progress",50,0))</x:f>
        <x:v>0</x:v>
      </x:c>
      <x:c r="N48" s="20" t="str"/>
      <x:c r="O48" s="20" t="str"/>
      <x:c r="P48" s="20" t="str"/>
      <x:c r="Q48" s="20" t="str">
        <x:f>IF(OR(L48&lt;&gt;"Completed",P48=""),"",IF(P48&lt;4.5,"YES","NO"))</x:f>
      </x:c>
      <x:c r="R48" s="20" t="str"/>
    </x:row>
    <x:row r="49">
      <x:c r="A49" s="20" t="str">
        <x:v>T046</x:v>
      </x:c>
      <x:c r="B49" s="20" t="str">
        <x:v>2026-09-29</x:v>
      </x:c>
      <x:c r="C49" s="20" t="str">
        <x:v>W2</x:v>
      </x:c>
      <x:c r="D49" s="20" t="str">
        <x:v>2. Requirement Elicitation</x:v>
      </x:c>
      <x:c r="E49" s="20" t="str">
        <x:v>Requirement Elicitation</x:v>
      </x:c>
      <x:c r="F49" s="20" t="str">
        <x:v>Define data requirements for market, liquidity, volatility and reports</x:v>
      </x:c>
      <x:c r="G49" s="20" t="str">
        <x:v>Data requirements specification</x:v>
      </x:c>
      <x:c r="H49" s="20" t="n">
        <x:v>0.75</x:v>
      </x:c>
      <x:c r="I49" s="20" t="str">
        <x:v>High</x:v>
      </x:c>
      <x:c r="J49" s="20" t="str"/>
      <x:c r="K49" s="20" t="str"/>
      <x:c r="L49" s="20" t="str">
        <x:v>Not Started</x:v>
      </x:c>
      <x:c r="M49" s="20" t="n">
        <x:f>IF(L49="Completed",100,IF(L49="In Progress",50,0))</x:f>
        <x:v>0</x:v>
      </x:c>
      <x:c r="N49" s="20" t="str"/>
      <x:c r="O49" s="20" t="str"/>
      <x:c r="P49" s="20" t="str"/>
      <x:c r="Q49" s="20" t="str">
        <x:f>IF(OR(L49&lt;&gt;"Completed",P49=""),"",IF(P49&lt;4.5,"YES","NO"))</x:f>
      </x:c>
      <x:c r="R49" s="20" t="str"/>
    </x:row>
    <x:row r="50">
      <x:c r="A50" s="20" t="str">
        <x:v>T047</x:v>
      </x:c>
      <x:c r="B50" s="20" t="str">
        <x:v>2026-09-30</x:v>
      </x:c>
      <x:c r="C50" s="20" t="str">
        <x:v>W2</x:v>
      </x:c>
      <x:c r="D50" s="20" t="str">
        <x:v>1. Literature Review</x:v>
      </x:c>
      <x:c r="E50" s="20" t="str">
        <x:v>Literature Review</x:v>
      </x:c>
      <x:c r="F50" s="20" t="str">
        <x:v>Read one high-impact execution/market-impact paper and complete one matrix row</x:v>
      </x:c>
      <x:c r="G50" s="20" t="str">
        <x:v>1 completed literature row</x:v>
      </x:c>
      <x:c r="H50" s="20" t="n">
        <x:v>1</x:v>
      </x:c>
      <x:c r="I50" s="20" t="str">
        <x:v>High</x:v>
      </x:c>
      <x:c r="J50" s="20" t="str"/>
      <x:c r="K50" s="20" t="str"/>
      <x:c r="L50" s="20" t="str">
        <x:v>Not Started</x:v>
      </x:c>
      <x:c r="M50" s="20" t="n">
        <x:f>IF(L50="Completed",100,IF(L50="In Progress",50,0))</x:f>
        <x:v>0</x:v>
      </x:c>
      <x:c r="N50" s="20" t="str"/>
      <x:c r="O50" s="20" t="str"/>
      <x:c r="P50" s="20" t="str"/>
      <x:c r="Q50" s="20" t="str">
        <x:f>IF(OR(L50&lt;&gt;"Completed",P50=""),"",IF(P50&lt;4.5,"YES","NO"))</x:f>
      </x:c>
      <x:c r="R50" s="20" t="str"/>
    </x:row>
    <x:row r="51">
      <x:c r="A51" s="20" t="str">
        <x:v>T048</x:v>
      </x:c>
      <x:c r="B51" s="20" t="str">
        <x:v>2026-09-30</x:v>
      </x:c>
      <x:c r="C51" s="20" t="str">
        <x:v>W2</x:v>
      </x:c>
      <x:c r="D51" s="20" t="str">
        <x:v>3. PPRS Handout</x:v>
      </x:c>
      <x:c r="E51" s="20" t="str">
        <x:v>PPRS Handout</x:v>
      </x:c>
      <x:c r="F51" s="20" t="str">
        <x:v>Draft Literature Review theme 2: liquidity and execution friction</x:v>
      </x:c>
      <x:c r="G51" s="20" t="str">
        <x:v>LR theme 2 draft</x:v>
      </x:c>
      <x:c r="H51" s="20" t="n">
        <x:v>0.75</x:v>
      </x:c>
      <x:c r="I51" s="20" t="str">
        <x:v>High</x:v>
      </x:c>
      <x:c r="J51" s="20" t="str"/>
      <x:c r="K51" s="20" t="str"/>
      <x:c r="L51" s="20" t="str">
        <x:v>Not Started</x:v>
      </x:c>
      <x:c r="M51" s="20" t="n">
        <x:f>IF(L51="Completed",100,IF(L51="In Progress",50,0))</x:f>
        <x:v>0</x:v>
      </x:c>
      <x:c r="N51" s="20" t="str"/>
      <x:c r="O51" s="20" t="str"/>
      <x:c r="P51" s="20" t="str"/>
      <x:c r="Q51" s="20" t="str">
        <x:f>IF(OR(L51&lt;&gt;"Completed",P51=""),"",IF(P51&lt;4.5,"YES","NO"))</x:f>
      </x:c>
      <x:c r="R51" s="20" t="str"/>
    </x:row>
    <x:row r="52">
      <x:c r="A52" s="20" t="str">
        <x:v>T049</x:v>
      </x:c>
      <x:c r="B52" s="20" t="str">
        <x:v>2026-09-30</x:v>
      </x:c>
      <x:c r="C52" s="20" t="str">
        <x:v>W2</x:v>
      </x:c>
      <x:c r="D52" s="20" t="str">
        <x:v>4. Proof of Concept</x:v>
      </x:c>
      <x:c r="E52" s="20" t="str">
        <x:v>PoC</x:v>
      </x:c>
      <x:c r="F52" s="20" t="str">
        <x:v>Create baseline static equal-weight agent combiner</x:v>
      </x:c>
      <x:c r="G52" s="20" t="str">
        <x:v>Static combiner prototype</x:v>
      </x:c>
      <x:c r="H52" s="20" t="n">
        <x:v>0.5</x:v>
      </x:c>
      <x:c r="I52" s="20" t="str">
        <x:v>High</x:v>
      </x:c>
      <x:c r="J52" s="20" t="str"/>
      <x:c r="K52" s="20" t="str"/>
      <x:c r="L52" s="20" t="str">
        <x:v>Not Started</x:v>
      </x:c>
      <x:c r="M52" s="20" t="n">
        <x:f>IF(L52="Completed",100,IF(L52="In Progress",50,0))</x:f>
        <x:v>0</x:v>
      </x:c>
      <x:c r="N52" s="20" t="str"/>
      <x:c r="O52" s="20" t="str"/>
      <x:c r="P52" s="20" t="str"/>
      <x:c r="Q52" s="20" t="str">
        <x:f>IF(OR(L52&lt;&gt;"Completed",P52=""),"",IF(P52&lt;4.5,"YES","NO"))</x:f>
      </x:c>
      <x:c r="R52" s="20" t="str"/>
    </x:row>
    <x:row r="53">
      <x:c r="A53" s="20" t="str">
        <x:v>T050</x:v>
      </x:c>
      <x:c r="B53" s="20" t="str">
        <x:v>2026-09-30</x:v>
      </x:c>
      <x:c r="C53" s="20" t="str">
        <x:v>W2</x:v>
      </x:c>
      <x:c r="D53" s="20" t="str">
        <x:v>2. Requirement Elicitation</x:v>
      </x:c>
      <x:c r="E53" s="20" t="str">
        <x:v>Requirement Elicitation</x:v>
      </x:c>
      <x:c r="F53" s="20" t="str">
        <x:v>Define interface requirements between agents and orchestrator</x:v>
      </x:c>
      <x:c r="G53" s="20" t="str">
        <x:v>Agent interface requirements</x:v>
      </x:c>
      <x:c r="H53" s="20" t="n">
        <x:v>0.75</x:v>
      </x:c>
      <x:c r="I53" s="20" t="str">
        <x:v>High</x:v>
      </x:c>
      <x:c r="J53" s="20" t="str"/>
      <x:c r="K53" s="20" t="str"/>
      <x:c r="L53" s="20" t="str">
        <x:v>Not Started</x:v>
      </x:c>
      <x:c r="M53" s="20" t="n">
        <x:f>IF(L53="Completed",100,IF(L53="In Progress",50,0))</x:f>
        <x:v>0</x:v>
      </x:c>
      <x:c r="N53" s="20" t="str"/>
      <x:c r="O53" s="20" t="str"/>
      <x:c r="P53" s="20" t="str"/>
      <x:c r="Q53" s="20" t="str">
        <x:f>IF(OR(L53&lt;&gt;"Completed",P53=""),"",IF(P53&lt;4.5,"YES","NO"))</x:f>
      </x:c>
      <x:c r="R53" s="20" t="str"/>
    </x:row>
    <x:row r="54">
      <x:c r="A54" s="20" t="str">
        <x:v>T051</x:v>
      </x:c>
      <x:c r="B54" s="20" t="str">
        <x:v>2026-10-01</x:v>
      </x:c>
      <x:c r="C54" s="20" t="str">
        <x:v>W2</x:v>
      </x:c>
      <x:c r="D54" s="20" t="str">
        <x:v>1. Literature Review</x:v>
      </x:c>
      <x:c r="E54" s="20" t="str">
        <x:v>Literature Review</x:v>
      </x:c>
      <x:c r="F54" s="20" t="str">
        <x:v>Read one high-impact volatility/regime paper and complete one matrix row</x:v>
      </x:c>
      <x:c r="G54" s="20" t="str">
        <x:v>1 completed literature row</x:v>
      </x:c>
      <x:c r="H54" s="20" t="n">
        <x:v>1</x:v>
      </x:c>
      <x:c r="I54" s="20" t="str">
        <x:v>High</x:v>
      </x:c>
      <x:c r="J54" s="20" t="str"/>
      <x:c r="K54" s="20" t="str"/>
      <x:c r="L54" s="20" t="str">
        <x:v>Not Started</x:v>
      </x:c>
      <x:c r="M54" s="20" t="n">
        <x:f>IF(L54="Completed",100,IF(L54="In Progress",50,0))</x:f>
        <x:v>0</x:v>
      </x:c>
      <x:c r="N54" s="20" t="str"/>
      <x:c r="O54" s="20" t="str"/>
      <x:c r="P54" s="20" t="str"/>
      <x:c r="Q54" s="20" t="str">
        <x:f>IF(OR(L54&lt;&gt;"Completed",P54=""),"",IF(P54&lt;4.5,"YES","NO"))</x:f>
      </x:c>
      <x:c r="R54" s="20" t="str"/>
    </x:row>
    <x:row r="55">
      <x:c r="A55" s="20" t="str">
        <x:v>T052</x:v>
      </x:c>
      <x:c r="B55" s="20" t="str">
        <x:v>2026-10-01</x:v>
      </x:c>
      <x:c r="C55" s="20" t="str">
        <x:v>W2</x:v>
      </x:c>
      <x:c r="D55" s="20" t="str">
        <x:v>3. PPRS Handout</x:v>
      </x:c>
      <x:c r="E55" s="20" t="str">
        <x:v>PPRS Handout</x:v>
      </x:c>
      <x:c r="F55" s="20" t="str">
        <x:v>Draft Literature Review theme 3: volatility persistence/regimes</x:v>
      </x:c>
      <x:c r="G55" s="20" t="str">
        <x:v>LR theme 3 draft</x:v>
      </x:c>
      <x:c r="H55" s="20" t="n">
        <x:v>0.75</x:v>
      </x:c>
      <x:c r="I55" s="20" t="str">
        <x:v>High</x:v>
      </x:c>
      <x:c r="J55" s="20" t="str"/>
      <x:c r="K55" s="20" t="str"/>
      <x:c r="L55" s="20" t="str">
        <x:v>Not Started</x:v>
      </x:c>
      <x:c r="M55" s="20" t="n">
        <x:f>IF(L55="Completed",100,IF(L55="In Progress",50,0))</x:f>
        <x:v>0</x:v>
      </x:c>
      <x:c r="N55" s="20" t="str"/>
      <x:c r="O55" s="20" t="str"/>
      <x:c r="P55" s="20" t="str"/>
      <x:c r="Q55" s="20" t="str">
        <x:f>IF(OR(L55&lt;&gt;"Completed",P55=""),"",IF(P55&lt;4.5,"YES","NO"))</x:f>
      </x:c>
      <x:c r="R55" s="20" t="str"/>
    </x:row>
    <x:row r="56">
      <x:c r="A56" s="20" t="str">
        <x:v>T053</x:v>
      </x:c>
      <x:c r="B56" s="20" t="str">
        <x:v>2026-10-01</x:v>
      </x:c>
      <x:c r="C56" s="20" t="str">
        <x:v>W2</x:v>
      </x:c>
      <x:c r="D56" s="20" t="str">
        <x:v>4. Proof of Concept</x:v>
      </x:c>
      <x:c r="E56" s="20" t="str">
        <x:v>PoC</x:v>
      </x:c>
      <x:c r="F56" s="20" t="str">
        <x:v>Create placeholder agent-output schema with signal, confidence and evidence fields</x:v>
      </x:c>
      <x:c r="G56" s="20" t="str">
        <x:v>Agent-output schema</x:v>
      </x:c>
      <x:c r="H56" s="20" t="n">
        <x:v>0.5</x:v>
      </x:c>
      <x:c r="I56" s="20" t="str">
        <x:v>High</x:v>
      </x:c>
      <x:c r="J56" s="20" t="str"/>
      <x:c r="K56" s="20" t="str"/>
      <x:c r="L56" s="20" t="str">
        <x:v>Not Started</x:v>
      </x:c>
      <x:c r="M56" s="20" t="n">
        <x:f>IF(L56="Completed",100,IF(L56="In Progress",50,0))</x:f>
        <x:v>0</x:v>
      </x:c>
      <x:c r="N56" s="20" t="str"/>
      <x:c r="O56" s="20" t="str"/>
      <x:c r="P56" s="20" t="str"/>
      <x:c r="Q56" s="20" t="str">
        <x:f>IF(OR(L56&lt;&gt;"Completed",P56=""),"",IF(P56&lt;4.5,"YES","NO"))</x:f>
      </x:c>
      <x:c r="R56" s="20" t="str"/>
    </x:row>
    <x:row r="57">
      <x:c r="A57" s="20" t="str">
        <x:v>T054</x:v>
      </x:c>
      <x:c r="B57" s="20" t="str">
        <x:v>2026-10-01</x:v>
      </x:c>
      <x:c r="C57" s="20" t="str">
        <x:v>W2</x:v>
      </x:c>
      <x:c r="D57" s="20" t="str">
        <x:v>2. Requirement Elicitation</x:v>
      </x:c>
      <x:c r="E57" s="20" t="str">
        <x:v>Requirement Elicitation</x:v>
      </x:c>
      <x:c r="F57" s="20" t="str">
        <x:v>Define evaluation requirements: baselines, ablations, metrics, significance tests</x:v>
      </x:c>
      <x:c r="G57" s="20" t="str">
        <x:v>Evaluation requirements</x:v>
      </x:c>
      <x:c r="H57" s="20" t="n">
        <x:v>0.75</x:v>
      </x:c>
      <x:c r="I57" s="20" t="str">
        <x:v>High</x:v>
      </x:c>
      <x:c r="J57" s="20" t="str"/>
      <x:c r="K57" s="20" t="str"/>
      <x:c r="L57" s="20" t="str">
        <x:v>Not Started</x:v>
      </x:c>
      <x:c r="M57" s="20" t="n">
        <x:f>IF(L57="Completed",100,IF(L57="In Progress",50,0))</x:f>
        <x:v>0</x:v>
      </x:c>
      <x:c r="N57" s="20" t="str"/>
      <x:c r="O57" s="20" t="str"/>
      <x:c r="P57" s="20" t="str"/>
      <x:c r="Q57" s="20" t="str">
        <x:f>IF(OR(L57&lt;&gt;"Completed",P57=""),"",IF(P57&lt;4.5,"YES","NO"))</x:f>
      </x:c>
      <x:c r="R57" s="20" t="str"/>
    </x:row>
    <x:row r="58">
      <x:c r="A58" s="20" t="str">
        <x:v>T055</x:v>
      </x:c>
      <x:c r="B58" s="20" t="str">
        <x:v>2026-10-02</x:v>
      </x:c>
      <x:c r="C58" s="20" t="str">
        <x:v>W2</x:v>
      </x:c>
      <x:c r="D58" s="20" t="str">
        <x:v>1. Literature Review</x:v>
      </x:c>
      <x:c r="E58" s="20" t="str">
        <x:v>Literature Review</x:v>
      </x:c>
      <x:c r="F58" s="20" t="str">
        <x:v>Re-check all novelty statements against the strongest papers read so far</x:v>
      </x:c>
      <x:c r="G58" s="20" t="str">
        <x:v>Novelty challenge notes</x:v>
      </x:c>
      <x:c r="H58" s="20" t="n">
        <x:v>1</x:v>
      </x:c>
      <x:c r="I58" s="20" t="str">
        <x:v>High</x:v>
      </x:c>
      <x:c r="J58" s="20" t="str"/>
      <x:c r="K58" s="20" t="str"/>
      <x:c r="L58" s="20" t="str">
        <x:v>Not Started</x:v>
      </x:c>
      <x:c r="M58" s="20" t="n">
        <x:f>IF(L58="Completed",100,IF(L58="In Progress",50,0))</x:f>
        <x:v>0</x:v>
      </x:c>
      <x:c r="N58" s="20" t="str"/>
      <x:c r="O58" s="20" t="str"/>
      <x:c r="P58" s="20" t="str"/>
      <x:c r="Q58" s="20" t="str">
        <x:f>IF(OR(L58&lt;&gt;"Completed",P58=""),"",IF(P58&lt;4.5,"YES","NO"))</x:f>
      </x:c>
      <x:c r="R58" s="20" t="str"/>
    </x:row>
    <x:row r="59">
      <x:c r="A59" s="20" t="str">
        <x:v>T056</x:v>
      </x:c>
      <x:c r="B59" s="20" t="str">
        <x:v>2026-10-02</x:v>
      </x:c>
      <x:c r="C59" s="20" t="str">
        <x:v>W2</x:v>
      </x:c>
      <x:c r="D59" s="20" t="str">
        <x:v>3. PPRS Handout</x:v>
      </x:c>
      <x:c r="E59" s="20" t="str">
        <x:v>PPRS Handout</x:v>
      </x:c>
      <x:c r="F59" s="20" t="str">
        <x:v>Draft Literature Review theme 4: CSE/frontier-market evidence</x:v>
      </x:c>
      <x:c r="G59" s="20" t="str">
        <x:v>LR theme 4 draft</x:v>
      </x:c>
      <x:c r="H59" s="20" t="n">
        <x:v>0.75</x:v>
      </x:c>
      <x:c r="I59" s="20" t="str">
        <x:v>High</x:v>
      </x:c>
      <x:c r="J59" s="20" t="str"/>
      <x:c r="K59" s="20" t="str"/>
      <x:c r="L59" s="20" t="str">
        <x:v>Not Started</x:v>
      </x:c>
      <x:c r="M59" s="20" t="n">
        <x:f>IF(L59="Completed",100,IF(L59="In Progress",50,0))</x:f>
        <x:v>0</x:v>
      </x:c>
      <x:c r="N59" s="20" t="str"/>
      <x:c r="O59" s="20" t="str"/>
      <x:c r="P59" s="20" t="str"/>
      <x:c r="Q59" s="20" t="str">
        <x:f>IF(OR(L59&lt;&gt;"Completed",P59=""),"",IF(P59&lt;4.5,"YES","NO"))</x:f>
      </x:c>
      <x:c r="R59" s="20" t="str"/>
    </x:row>
    <x:row r="60">
      <x:c r="A60" s="20" t="str">
        <x:v>T057</x:v>
      </x:c>
      <x:c r="B60" s="20" t="str">
        <x:v>2026-10-02</x:v>
      </x:c>
      <x:c r="C60" s="20" t="str">
        <x:v>W2</x:v>
      </x:c>
      <x:c r="D60" s="20" t="str">
        <x:v>4. Proof of Concept</x:v>
      </x:c>
      <x:c r="E60" s="20" t="str">
        <x:v>PoC</x:v>
      </x:c>
      <x:c r="F60" s="20" t="str">
        <x:v>Implement basic technical-agent signal from a minimal justified feature set</x:v>
      </x:c>
      <x:c r="G60" s="20" t="str">
        <x:v>Technical-agent output</x:v>
      </x:c>
      <x:c r="H60" s="20" t="n">
        <x:v>0.5</x:v>
      </x:c>
      <x:c r="I60" s="20" t="str">
        <x:v>High</x:v>
      </x:c>
      <x:c r="J60" s="20" t="str"/>
      <x:c r="K60" s="20" t="str"/>
      <x:c r="L60" s="20" t="str">
        <x:v>Not Started</x:v>
      </x:c>
      <x:c r="M60" s="20" t="n">
        <x:f>IF(L60="Completed",100,IF(L60="In Progress",50,0))</x:f>
        <x:v>0</x:v>
      </x:c>
      <x:c r="N60" s="20" t="str"/>
      <x:c r="O60" s="20" t="str"/>
      <x:c r="P60" s="20" t="str"/>
      <x:c r="Q60" s="20" t="str">
        <x:f>IF(OR(L60&lt;&gt;"Completed",P60=""),"",IF(P60&lt;4.5,"YES","NO"))</x:f>
      </x:c>
      <x:c r="R60" s="20" t="str"/>
    </x:row>
    <x:row r="61">
      <x:c r="A61" s="20" t="str">
        <x:v>T058</x:v>
      </x:c>
      <x:c r="B61" s="20" t="str">
        <x:v>2026-10-02</x:v>
      </x:c>
      <x:c r="C61" s="20" t="str">
        <x:v>W2</x:v>
      </x:c>
      <x:c r="D61" s="20" t="str">
        <x:v>2. Requirement Elicitation</x:v>
      </x:c>
      <x:c r="E61" s="20" t="str">
        <x:v>Requirement Elicitation</x:v>
      </x:c>
      <x:c r="F61" s="20" t="str">
        <x:v>Define reproducibility requirements: seeds, versioning, data lineage, experiment logs</x:v>
      </x:c>
      <x:c r="G61" s="20" t="str">
        <x:v>Reproducibility requirements</x:v>
      </x:c>
      <x:c r="H61" s="20" t="n">
        <x:v>0.75</x:v>
      </x:c>
      <x:c r="I61" s="20" t="str">
        <x:v>High</x:v>
      </x:c>
      <x:c r="J61" s="20" t="str"/>
      <x:c r="K61" s="20" t="str"/>
      <x:c r="L61" s="20" t="str">
        <x:v>Not Started</x:v>
      </x:c>
      <x:c r="M61" s="20" t="n">
        <x:f>IF(L61="Completed",100,IF(L61="In Progress",50,0))</x:f>
        <x:v>0</x:v>
      </x:c>
      <x:c r="N61" s="20" t="str"/>
      <x:c r="O61" s="20" t="str"/>
      <x:c r="P61" s="20" t="str"/>
      <x:c r="Q61" s="20" t="str">
        <x:f>IF(OR(L61&lt;&gt;"Completed",P61=""),"",IF(P61&lt;4.5,"YES","NO"))</x:f>
      </x:c>
      <x:c r="R61" s="20" t="str"/>
    </x:row>
    <x:row r="62">
      <x:c r="A62" s="20" t="str">
        <x:v>T059</x:v>
      </x:c>
      <x:c r="B62" s="20" t="str">
        <x:v>2026-10-03</x:v>
      </x:c>
      <x:c r="C62" s="20" t="str">
        <x:v>W2</x:v>
      </x:c>
      <x:c r="D62" s="20" t="str">
        <x:v>1. Literature Review</x:v>
      </x:c>
      <x:c r="E62" s="20" t="str">
        <x:v>Literature Review</x:v>
      </x:c>
      <x:c r="F62" s="20" t="str">
        <x:v>Complete literature-gap synthesis table: known, limitation, unresolved issue, proposed response</x:v>
      </x:c>
      <x:c r="G62" s="20" t="str">
        <x:v>Literature-gap synthesis table</x:v>
      </x:c>
      <x:c r="H62" s="20" t="n">
        <x:v>1</x:v>
      </x:c>
      <x:c r="I62" s="20" t="str">
        <x:v>High</x:v>
      </x:c>
      <x:c r="J62" s="20" t="str"/>
      <x:c r="K62" s="20" t="str"/>
      <x:c r="L62" s="20" t="str">
        <x:v>Not Started</x:v>
      </x:c>
      <x:c r="M62" s="20" t="n">
        <x:f>IF(L62="Completed",100,IF(L62="In Progress",50,0))</x:f>
        <x:v>0</x:v>
      </x:c>
      <x:c r="N62" s="20" t="str"/>
      <x:c r="O62" s="20" t="str"/>
      <x:c r="P62" s="20" t="str"/>
      <x:c r="Q62" s="20" t="str">
        <x:f>IF(OR(L62&lt;&gt;"Completed",P62=""),"",IF(P62&lt;4.5,"YES","NO"))</x:f>
      </x:c>
      <x:c r="R62" s="20" t="str"/>
    </x:row>
    <x:row r="63">
      <x:c r="A63" s="20" t="str">
        <x:v>T060</x:v>
      </x:c>
      <x:c r="B63" s="20" t="str">
        <x:v>2026-10-03</x:v>
      </x:c>
      <x:c r="C63" s="20" t="str">
        <x:v>W2</x:v>
      </x:c>
      <x:c r="D63" s="20" t="str">
        <x:v>3. PPRS Handout</x:v>
      </x:c>
      <x:c r="E63" s="20" t="str">
        <x:v>PPRS Handout</x:v>
      </x:c>
      <x:c r="F63" s="20" t="str">
        <x:v>Draft Dataset Strategy subsection</x:v>
      </x:c>
      <x:c r="G63" s="20" t="str">
        <x:v>Dataset Strategy draft</x:v>
      </x:c>
      <x:c r="H63" s="20" t="n">
        <x:v>0.75</x:v>
      </x:c>
      <x:c r="I63" s="20" t="str">
        <x:v>High</x:v>
      </x:c>
      <x:c r="J63" s="20" t="str"/>
      <x:c r="K63" s="20" t="str"/>
      <x:c r="L63" s="20" t="str">
        <x:v>Not Started</x:v>
      </x:c>
      <x:c r="M63" s="20" t="n">
        <x:f>IF(L63="Completed",100,IF(L63="In Progress",50,0))</x:f>
        <x:v>0</x:v>
      </x:c>
      <x:c r="N63" s="20" t="str"/>
      <x:c r="O63" s="20" t="str"/>
      <x:c r="P63" s="20" t="str"/>
      <x:c r="Q63" s="20" t="str">
        <x:f>IF(OR(L63&lt;&gt;"Completed",P63=""),"",IF(P63&lt;4.5,"YES","NO"))</x:f>
      </x:c>
      <x:c r="R63" s="20" t="str"/>
    </x:row>
    <x:row r="64">
      <x:c r="A64" s="20" t="str">
        <x:v>T061</x:v>
      </x:c>
      <x:c r="B64" s="20" t="str">
        <x:v>2026-10-03</x:v>
      </x:c>
      <x:c r="C64" s="20" t="str">
        <x:v>W2</x:v>
      </x:c>
      <x:c r="D64" s="20" t="str">
        <x:v>4. Proof of Concept</x:v>
      </x:c>
      <x:c r="E64" s="20" t="str">
        <x:v>PoC</x:v>
      </x:c>
      <x:c r="F64" s="20" t="str">
        <x:v>Implement liquidity-agent output with a continuous liquidity score</x:v>
      </x:c>
      <x:c r="G64" s="20" t="str">
        <x:v>Liquidity-agent output</x:v>
      </x:c>
      <x:c r="H64" s="20" t="n">
        <x:v>1.5</x:v>
      </x:c>
      <x:c r="I64" s="20" t="str">
        <x:v>High</x:v>
      </x:c>
      <x:c r="J64" s="20" t="str"/>
      <x:c r="K64" s="20" t="str"/>
      <x:c r="L64" s="20" t="str">
        <x:v>Not Started</x:v>
      </x:c>
      <x:c r="M64" s="20" t="n">
        <x:f>IF(L64="Completed",100,IF(L64="In Progress",50,0))</x:f>
        <x:v>0</x:v>
      </x:c>
      <x:c r="N64" s="20" t="str"/>
      <x:c r="O64" s="20" t="str"/>
      <x:c r="P64" s="20" t="str"/>
      <x:c r="Q64" s="20" t="str">
        <x:f>IF(OR(L64&lt;&gt;"Completed",P64=""),"",IF(P64&lt;4.5,"YES","NO"))</x:f>
      </x:c>
      <x:c r="R64" s="20" t="str"/>
    </x:row>
    <x:row r="65">
      <x:c r="A65" s="20" t="str">
        <x:v>T062</x:v>
      </x:c>
      <x:c r="B65" s="20" t="str">
        <x:v>2026-10-03</x:v>
      </x:c>
      <x:c r="C65" s="20" t="str">
        <x:v>W2</x:v>
      </x:c>
      <x:c r="D65" s="20" t="str">
        <x:v>2. Requirement Elicitation</x:v>
      </x:c>
      <x:c r="E65" s="20" t="str">
        <x:v>Requirement Elicitation</x:v>
      </x:c>
      <x:c r="F65" s="20" t="str">
        <x:v>Freeze Requirement Specification v1.0</x:v>
      </x:c>
      <x:c r="G65" s="20" t="str">
        <x:v>Requirements v1.0</x:v>
      </x:c>
      <x:c r="H65" s="20" t="n">
        <x:v>0.75</x:v>
      </x:c>
      <x:c r="I65" s="20" t="str">
        <x:v>High</x:v>
      </x:c>
      <x:c r="J65" s="20" t="str"/>
      <x:c r="K65" s="20" t="str">
        <x:v>Requirements v1.0</x:v>
      </x:c>
      <x:c r="L65" s="20" t="str">
        <x:v>Not Started</x:v>
      </x:c>
      <x:c r="M65" s="20" t="n">
        <x:f>IF(L65="Completed",100,IF(L65="In Progress",50,0))</x:f>
        <x:v>0</x:v>
      </x:c>
      <x:c r="N65" s="20" t="str"/>
      <x:c r="O65" s="20" t="str"/>
      <x:c r="P65" s="20" t="str"/>
      <x:c r="Q65" s="20" t="str">
        <x:f>IF(OR(L65&lt;&gt;"Completed",P65=""),"",IF(P65&lt;4.5,"YES","NO"))</x:f>
      </x:c>
      <x:c r="R65" s="20" t="str"/>
    </x:row>
    <x:row r="66">
      <x:c r="A66" s="20" t="str">
        <x:v>T063</x:v>
      </x:c>
      <x:c r="B66" s="20" t="str">
        <x:v>2026-10-04</x:v>
      </x:c>
      <x:c r="C66" s="20" t="str">
        <x:v>W2</x:v>
      </x:c>
      <x:c r="D66" s="20" t="str">
        <x:v>1. Literature Review</x:v>
      </x:c>
      <x:c r="E66" s="20" t="str">
        <x:v>Literature Review</x:v>
      </x:c>
      <x:c r="F66" s="20" t="str">
        <x:v>Complete a full quality review of the Literature Survey Matrix; fill missing fields</x:v>
      </x:c>
      <x:c r="G66" s="20" t="str">
        <x:v>Literature Matrix cleaned</x:v>
      </x:c>
      <x:c r="H66" s="20" t="n">
        <x:v>1.5</x:v>
      </x:c>
      <x:c r="I66" s="20" t="str">
        <x:v>High</x:v>
      </x:c>
      <x:c r="J66" s="20" t="str"/>
      <x:c r="K66" s="20" t="str">
        <x:v>LR matrix substantially complete</x:v>
      </x:c>
      <x:c r="L66" s="20" t="str">
        <x:v>Not Started</x:v>
      </x:c>
      <x:c r="M66" s="20" t="n">
        <x:f>IF(L66="Completed",100,IF(L66="In Progress",50,0))</x:f>
        <x:v>0</x:v>
      </x:c>
      <x:c r="N66" s="20" t="str"/>
      <x:c r="O66" s="20" t="str"/>
      <x:c r="P66" s="20" t="str"/>
      <x:c r="Q66" s="20" t="str">
        <x:f>IF(OR(L66&lt;&gt;"Completed",P66=""),"",IF(P66&lt;4.5,"YES","NO"))</x:f>
      </x:c>
      <x:c r="R66" s="20" t="str"/>
    </x:row>
    <x:row r="67">
      <x:c r="A67" s="20" t="str">
        <x:v>T064</x:v>
      </x:c>
      <x:c r="B67" s="20" t="str">
        <x:v>2026-10-04</x:v>
      </x:c>
      <x:c r="C67" s="20" t="str">
        <x:v>W2</x:v>
      </x:c>
      <x:c r="D67" s="20" t="str">
        <x:v>3. PPRS Handout</x:v>
      </x:c>
      <x:c r="E67" s="20" t="str">
        <x:v>PPRS Handout</x:v>
      </x:c>
      <x:c r="F67" s="20" t="str">
        <x:v>Integrate all Literature Review themes into one coherent section</x:v>
      </x:c>
      <x:c r="G67" s="20" t="str">
        <x:v>Literature Review v0.8</x:v>
      </x:c>
      <x:c r="H67" s="20" t="n">
        <x:v>2</x:v>
      </x:c>
      <x:c r="I67" s="20" t="str">
        <x:v>High</x:v>
      </x:c>
      <x:c r="J67" s="20" t="str"/>
      <x:c r="K67" s="20" t="str"/>
      <x:c r="L67" s="20" t="str">
        <x:v>Not Started</x:v>
      </x:c>
      <x:c r="M67" s="20" t="n">
        <x:f>IF(L67="Completed",100,IF(L67="In Progress",50,0))</x:f>
        <x:v>0</x:v>
      </x:c>
      <x:c r="N67" s="20" t="str"/>
      <x:c r="O67" s="20" t="str"/>
      <x:c r="P67" s="20" t="str"/>
      <x:c r="Q67" s="20" t="str">
        <x:f>IF(OR(L67&lt;&gt;"Completed",P67=""),"",IF(P67&lt;4.5,"YES","NO"))</x:f>
      </x:c>
      <x:c r="R67" s="20" t="str"/>
    </x:row>
    <x:row r="68">
      <x:c r="A68" s="20" t="str">
        <x:v>T065</x:v>
      </x:c>
      <x:c r="B68" s="20" t="str">
        <x:v>2026-10-04</x:v>
      </x:c>
      <x:c r="C68" s="20" t="str">
        <x:v>W2</x:v>
      </x:c>
      <x:c r="D68" s="20" t="str">
        <x:v>4. Proof of Concept</x:v>
      </x:c>
      <x:c r="E68" s="20" t="str">
        <x:v>PoC</x:v>
      </x:c>
      <x:c r="F68" s="20" t="str">
        <x:v>Implement volatility-agent baseline using rolling volatility and GARCH if stable</x:v>
      </x:c>
      <x:c r="G68" s="20" t="str">
        <x:v>Volatility-agent baseline</x:v>
      </x:c>
      <x:c r="H68" s="20" t="n">
        <x:v>2</x:v>
      </x:c>
      <x:c r="I68" s="20" t="str">
        <x:v>High</x:v>
      </x:c>
      <x:c r="J68" s="20" t="str"/>
      <x:c r="K68" s="20" t="str"/>
      <x:c r="L68" s="20" t="str">
        <x:v>Not Started</x:v>
      </x:c>
      <x:c r="M68" s="20" t="n">
        <x:f>IF(L68="Completed",100,IF(L68="In Progress",50,0))</x:f>
        <x:v>0</x:v>
      </x:c>
      <x:c r="N68" s="20" t="str"/>
      <x:c r="O68" s="20" t="str"/>
      <x:c r="P68" s="20" t="str"/>
      <x:c r="Q68" s="20" t="str">
        <x:f>IF(OR(L68&lt;&gt;"Completed",P68=""),"",IF(P68&lt;4.5,"YES","NO"))</x:f>
      </x:c>
      <x:c r="R68" s="20" t="str"/>
    </x:row>
    <x:row r="69">
      <x:c r="A69" s="20" t="str">
        <x:v>T066</x:v>
      </x:c>
      <x:c r="B69" s="20" t="str">
        <x:v>2026-10-04</x:v>
      </x:c>
      <x:c r="C69" s="20" t="str">
        <x:v>W2</x:v>
      </x:c>
      <x:c r="D69" s="20" t="str">
        <x:v>4. Proof of Concept</x:v>
      </x:c>
      <x:c r="E69" s="20" t="str">
        <x:v>PoC</x:v>
      </x:c>
      <x:c r="F69" s="20" t="str">
        <x:v>Load a small set of CSE annual reports and verify PDF text extraction</x:v>
      </x:c>
      <x:c r="G69" s="20" t="str">
        <x:v>Report corpus sample</x:v>
      </x:c>
      <x:c r="H69" s="20" t="n">
        <x:v>1</x:v>
      </x:c>
      <x:c r="I69" s="20" t="str">
        <x:v>High</x:v>
      </x:c>
      <x:c r="J69" s="20" t="str"/>
      <x:c r="K69" s="20" t="str"/>
      <x:c r="L69" s="20" t="str">
        <x:v>Not Started</x:v>
      </x:c>
      <x:c r="M69" s="20" t="n">
        <x:f>IF(L69="Completed",100,IF(L69="In Progress",50,0))</x:f>
        <x:v>0</x:v>
      </x:c>
      <x:c r="N69" s="20" t="str"/>
      <x:c r="O69" s="20" t="str"/>
      <x:c r="P69" s="20" t="str"/>
      <x:c r="Q69" s="20" t="str">
        <x:f>IF(OR(L69&lt;&gt;"Completed",P69=""),"",IF(P69&lt;4.5,"YES","NO"))</x:f>
      </x:c>
      <x:c r="R69" s="20" t="str"/>
    </x:row>
    <x:row r="70">
      <x:c r="A70" s="20" t="str">
        <x:v>T067</x:v>
      </x:c>
      <x:c r="B70" s="20" t="str">
        <x:v>2026-10-04</x:v>
      </x:c>
      <x:c r="C70" s="20" t="str">
        <x:v>W2</x:v>
      </x:c>
      <x:c r="D70" s="20" t="str">
        <x:v>Supporting / QA</x:v>
      </x:c>
      <x:c r="E70" s="20" t="str">
        <x:v>Project Control</x:v>
      </x:c>
      <x:c r="F70" s="20" t="str">
        <x:v>Run Week 2 quality audit and list all tasks below 4.5/5 readiness</x:v>
      </x:c>
      <x:c r="G70" s="20" t="str">
        <x:v>Week 2 audit</x:v>
      </x:c>
      <x:c r="H70" s="20" t="n">
        <x:v>1.5</x:v>
      </x:c>
      <x:c r="I70" s="20" t="str">
        <x:v>High</x:v>
      </x:c>
      <x:c r="J70" s="20" t="str"/>
      <x:c r="K70" s="20" t="str"/>
      <x:c r="L70" s="20" t="str">
        <x:v>Not Started</x:v>
      </x:c>
      <x:c r="M70" s="20" t="n">
        <x:f>IF(L70="Completed",100,IF(L70="In Progress",50,0))</x:f>
        <x:v>0</x:v>
      </x:c>
      <x:c r="N70" s="20" t="str"/>
      <x:c r="O70" s="20" t="str"/>
      <x:c r="P70" s="20" t="str"/>
      <x:c r="Q70" s="20" t="str">
        <x:f>IF(OR(L70&lt;&gt;"Completed",P70=""),"",IF(P70&lt;4.5,"YES","NO"))</x:f>
      </x:c>
      <x:c r="R70" s="20" t="str"/>
    </x:row>
    <x:row r="71">
      <x:c r="A71" s="20" t="str">
        <x:v>T068</x:v>
      </x:c>
      <x:c r="B71" s="20" t="str">
        <x:v>2026-10-05</x:v>
      </x:c>
      <x:c r="C71" s="20" t="str">
        <x:v>W3</x:v>
      </x:c>
      <x:c r="D71" s="20" t="str">
        <x:v>1. Literature Review</x:v>
      </x:c>
      <x:c r="E71" s="20" t="str">
        <x:v>Literature Review</x:v>
      </x:c>
      <x:c r="F71" s="20" t="str">
        <x:v>Read one paper most likely to invalidate the proposed main gap</x:v>
      </x:c>
      <x:c r="G71" s="20" t="str">
        <x:v>Adversarial literature row</x:v>
      </x:c>
      <x:c r="H71" s="20" t="n">
        <x:v>1</x:v>
      </x:c>
      <x:c r="I71" s="20" t="str">
        <x:v>High</x:v>
      </x:c>
      <x:c r="J71" s="20" t="str"/>
      <x:c r="K71" s="20" t="str"/>
      <x:c r="L71" s="20" t="str">
        <x:v>Not Started</x:v>
      </x:c>
      <x:c r="M71" s="20" t="n">
        <x:f>IF(L71="Completed",100,IF(L71="In Progress",50,0))</x:f>
        <x:v>0</x:v>
      </x:c>
      <x:c r="N71" s="20" t="str"/>
      <x:c r="O71" s="20" t="str"/>
      <x:c r="P71" s="20" t="str"/>
      <x:c r="Q71" s="20" t="str">
        <x:f>IF(OR(L71&lt;&gt;"Completed",P71=""),"",IF(P71&lt;4.5,"YES","NO"))</x:f>
      </x:c>
      <x:c r="R71" s="20" t="str"/>
    </x:row>
    <x:row r="72">
      <x:c r="A72" s="20" t="str">
        <x:v>T069</x:v>
      </x:c>
      <x:c r="B72" s="20" t="str">
        <x:v>2026-10-05</x:v>
      </x:c>
      <x:c r="C72" s="20" t="str">
        <x:v>W3</x:v>
      </x:c>
      <x:c r="D72" s="20" t="str">
        <x:v>3. PPRS Handout</x:v>
      </x:c>
      <x:c r="E72" s="20" t="str">
        <x:v>Methodology</x:v>
      </x:c>
      <x:c r="F72" s="20" t="str">
        <x:v>Draft research-design overview: comparative experimental study using secondary data</x:v>
      </x:c>
      <x:c r="G72" s="20" t="str">
        <x:v>Methodology overview v0.1</x:v>
      </x:c>
      <x:c r="H72" s="20" t="n">
        <x:v>0.5</x:v>
      </x:c>
      <x:c r="I72" s="20" t="str">
        <x:v>High</x:v>
      </x:c>
      <x:c r="J72" s="20" t="str"/>
      <x:c r="K72" s="20" t="str"/>
      <x:c r="L72" s="20" t="str">
        <x:v>Not Started</x:v>
      </x:c>
      <x:c r="M72" s="20" t="n">
        <x:f>IF(L72="Completed",100,IF(L72="In Progress",50,0))</x:f>
        <x:v>0</x:v>
      </x:c>
      <x:c r="N72" s="20" t="str"/>
      <x:c r="O72" s="20" t="str"/>
      <x:c r="P72" s="20" t="str"/>
      <x:c r="Q72" s="20" t="str">
        <x:f>IF(OR(L72&lt;&gt;"Completed",P72=""),"",IF(P72&lt;4.5,"YES","NO"))</x:f>
      </x:c>
      <x:c r="R72" s="20" t="str"/>
    </x:row>
    <x:row r="73">
      <x:c r="A73" s="20" t="str">
        <x:v>T070</x:v>
      </x:c>
      <x:c r="B73" s="20" t="str">
        <x:v>2026-10-05</x:v>
      </x:c>
      <x:c r="C73" s="20" t="str">
        <x:v>W3</x:v>
      </x:c>
      <x:c r="D73" s="20" t="str">
        <x:v>3. PPRS Handout</x:v>
      </x:c>
      <x:c r="E73" s="20" t="str">
        <x:v>PPRS Handout</x:v>
      </x:c>
      <x:c r="F73" s="20" t="str">
        <x:v>Revise Research Gap section after adversarial literature check</x:v>
      </x:c>
      <x:c r="G73" s="20" t="str">
        <x:v>Research Gap v0.8</x:v>
      </x:c>
      <x:c r="H73" s="20" t="n">
        <x:v>0.75</x:v>
      </x:c>
      <x:c r="I73" s="20" t="str">
        <x:v>High</x:v>
      </x:c>
      <x:c r="J73" s="20" t="str"/>
      <x:c r="K73" s="20" t="str"/>
      <x:c r="L73" s="20" t="str">
        <x:v>Not Started</x:v>
      </x:c>
      <x:c r="M73" s="20" t="n">
        <x:f>IF(L73="Completed",100,IF(L73="In Progress",50,0))</x:f>
        <x:v>0</x:v>
      </x:c>
      <x:c r="N73" s="20" t="str"/>
      <x:c r="O73" s="20" t="str"/>
      <x:c r="P73" s="20" t="str"/>
      <x:c r="Q73" s="20" t="str">
        <x:f>IF(OR(L73&lt;&gt;"Completed",P73=""),"",IF(P73&lt;4.5,"YES","NO"))</x:f>
      </x:c>
      <x:c r="R73" s="20" t="str"/>
    </x:row>
    <x:row r="74">
      <x:c r="A74" s="20" t="str">
        <x:v>T071</x:v>
      </x:c>
      <x:c r="B74" s="20" t="str">
        <x:v>2026-10-05</x:v>
      </x:c>
      <x:c r="C74" s="20" t="str">
        <x:v>W3</x:v>
      </x:c>
      <x:c r="D74" s="20" t="str">
        <x:v>4. Proof of Concept</x:v>
      </x:c>
      <x:c r="E74" s="20" t="str">
        <x:v>PoC</x:v>
      </x:c>
      <x:c r="F74" s="20" t="str">
        <x:v>Implement simple report retrieval over the sample PDF corpus</x:v>
      </x:c>
      <x:c r="G74" s="20" t="str">
        <x:v>Fundamental retrieval prototype</x:v>
      </x:c>
      <x:c r="H74" s="20" t="n">
        <x:v>0.75</x:v>
      </x:c>
      <x:c r="I74" s="20" t="str">
        <x:v>High</x:v>
      </x:c>
      <x:c r="J74" s="20" t="str"/>
      <x:c r="K74" s="20" t="str"/>
      <x:c r="L74" s="20" t="str">
        <x:v>Not Started</x:v>
      </x:c>
      <x:c r="M74" s="20" t="n">
        <x:f>IF(L74="Completed",100,IF(L74="In Progress",50,0))</x:f>
        <x:v>0</x:v>
      </x:c>
      <x:c r="N74" s="20" t="str"/>
      <x:c r="O74" s="20" t="str"/>
      <x:c r="P74" s="20" t="str"/>
      <x:c r="Q74" s="20" t="str">
        <x:f>IF(OR(L74&lt;&gt;"Completed",P74=""),"",IF(P74&lt;4.5,"YES","NO"))</x:f>
      </x:c>
      <x:c r="R74" s="20" t="str"/>
    </x:row>
    <x:row r="75">
      <x:c r="A75" s="20" t="str">
        <x:v>T072</x:v>
      </x:c>
      <x:c r="B75" s="20" t="str">
        <x:v>2026-10-06</x:v>
      </x:c>
      <x:c r="C75" s="20" t="str">
        <x:v>W3</x:v>
      </x:c>
      <x:c r="D75" s="20" t="str">
        <x:v>1. Literature Review</x:v>
      </x:c>
      <x:c r="E75" s="20" t="str">
        <x:v>Literature Review</x:v>
      </x:c>
      <x:c r="F75" s="20" t="str">
        <x:v>Finalise main-gap evidence citations from multiple papers</x:v>
      </x:c>
      <x:c r="G75" s="20" t="str">
        <x:v>Gap evidence set</x:v>
      </x:c>
      <x:c r="H75" s="20" t="n">
        <x:v>0.75</x:v>
      </x:c>
      <x:c r="I75" s="20" t="str">
        <x:v>High</x:v>
      </x:c>
      <x:c r="J75" s="20" t="str"/>
      <x:c r="K75" s="20" t="str"/>
      <x:c r="L75" s="20" t="str">
        <x:v>Not Started</x:v>
      </x:c>
      <x:c r="M75" s="20" t="n">
        <x:f>IF(L75="Completed",100,IF(L75="In Progress",50,0))</x:f>
        <x:v>0</x:v>
      </x:c>
      <x:c r="N75" s="20" t="str"/>
      <x:c r="O75" s="20" t="str"/>
      <x:c r="P75" s="20" t="str"/>
      <x:c r="Q75" s="20" t="str">
        <x:f>IF(OR(L75&lt;&gt;"Completed",P75=""),"",IF(P75&lt;4.5,"YES","NO"))</x:f>
      </x:c>
      <x:c r="R75" s="20" t="str"/>
    </x:row>
    <x:row r="76">
      <x:c r="A76" s="20" t="str">
        <x:v>T073</x:v>
      </x:c>
      <x:c r="B76" s="20" t="str">
        <x:v>2026-10-06</x:v>
      </x:c>
      <x:c r="C76" s="20" t="str">
        <x:v>W3</x:v>
      </x:c>
      <x:c r="D76" s="20" t="str">
        <x:v>3. PPRS Handout</x:v>
      </x:c>
      <x:c r="E76" s="20" t="str">
        <x:v>Methodology</x:v>
      </x:c>
      <x:c r="F76" s="20" t="str">
        <x:v>Draft data-acquisition and preprocessing methodology</x:v>
      </x:c>
      <x:c r="G76" s="20" t="str">
        <x:v>Data methodology draft</x:v>
      </x:c>
      <x:c r="H76" s="20" t="n">
        <x:v>0.5</x:v>
      </x:c>
      <x:c r="I76" s="20" t="str">
        <x:v>High</x:v>
      </x:c>
      <x:c r="J76" s="20" t="str"/>
      <x:c r="K76" s="20" t="str"/>
      <x:c r="L76" s="20" t="str">
        <x:v>Not Started</x:v>
      </x:c>
      <x:c r="M76" s="20" t="n">
        <x:f>IF(L76="Completed",100,IF(L76="In Progress",50,0))</x:f>
        <x:v>0</x:v>
      </x:c>
      <x:c r="N76" s="20" t="str"/>
      <x:c r="O76" s="20" t="str"/>
      <x:c r="P76" s="20" t="str"/>
      <x:c r="Q76" s="20" t="str">
        <x:f>IF(OR(L76&lt;&gt;"Completed",P76=""),"",IF(P76&lt;4.5,"YES","NO"))</x:f>
      </x:c>
      <x:c r="R76" s="20" t="str"/>
    </x:row>
    <x:row r="77">
      <x:c r="A77" s="20" t="str">
        <x:v>T074</x:v>
      </x:c>
      <x:c r="B77" s="20" t="str">
        <x:v>2026-10-06</x:v>
      </x:c>
      <x:c r="C77" s="20" t="str">
        <x:v>W3</x:v>
      </x:c>
      <x:c r="D77" s="20" t="str">
        <x:v>3. PPRS Handout</x:v>
      </x:c>
      <x:c r="E77" s="20" t="str">
        <x:v>PPRS Handout</x:v>
      </x:c>
      <x:c r="F77" s="20" t="str">
        <x:v>Draft Technical Contribution to BoK subsection</x:v>
      </x:c>
      <x:c r="G77" s="20" t="str">
        <x:v>Technical contribution draft</x:v>
      </x:c>
      <x:c r="H77" s="20" t="n">
        <x:v>0.75</x:v>
      </x:c>
      <x:c r="I77" s="20" t="str">
        <x:v>High</x:v>
      </x:c>
      <x:c r="J77" s="20" t="str"/>
      <x:c r="K77" s="20" t="str"/>
      <x:c r="L77" s="20" t="str">
        <x:v>Not Started</x:v>
      </x:c>
      <x:c r="M77" s="20" t="n">
        <x:f>IF(L77="Completed",100,IF(L77="In Progress",50,0))</x:f>
        <x:v>0</x:v>
      </x:c>
      <x:c r="N77" s="20" t="str"/>
      <x:c r="O77" s="20" t="str"/>
      <x:c r="P77" s="20" t="str"/>
      <x:c r="Q77" s="20" t="str">
        <x:f>IF(OR(L77&lt;&gt;"Completed",P77=""),"",IF(P77&lt;4.5,"YES","NO"))</x:f>
      </x:c>
      <x:c r="R77" s="20" t="str"/>
    </x:row>
    <x:row r="78">
      <x:c r="A78" s="20" t="str">
        <x:v>T075</x:v>
      </x:c>
      <x:c r="B78" s="20" t="str">
        <x:v>2026-10-06</x:v>
      </x:c>
      <x:c r="C78" s="20" t="str">
        <x:v>W3</x:v>
      </x:c>
      <x:c r="D78" s="20" t="str">
        <x:v>4. Proof of Concept</x:v>
      </x:c>
      <x:c r="E78" s="20" t="str">
        <x:v>PoC</x:v>
      </x:c>
      <x:c r="F78" s="20" t="str">
        <x:v>Implement fundamental-agent output with evidence reference and confidence placeholder</x:v>
      </x:c>
      <x:c r="G78" s="20" t="str">
        <x:v>Fundamental-agent output</x:v>
      </x:c>
      <x:c r="H78" s="20" t="n">
        <x:v>1</x:v>
      </x:c>
      <x:c r="I78" s="20" t="str">
        <x:v>High</x:v>
      </x:c>
      <x:c r="J78" s="20" t="str"/>
      <x:c r="K78" s="20" t="str"/>
      <x:c r="L78" s="20" t="str">
        <x:v>Not Started</x:v>
      </x:c>
      <x:c r="M78" s="20" t="n">
        <x:f>IF(L78="Completed",100,IF(L78="In Progress",50,0))</x:f>
        <x:v>0</x:v>
      </x:c>
      <x:c r="N78" s="20" t="str"/>
      <x:c r="O78" s="20" t="str"/>
      <x:c r="P78" s="20" t="str"/>
      <x:c r="Q78" s="20" t="str">
        <x:f>IF(OR(L78&lt;&gt;"Completed",P78=""),"",IF(P78&lt;4.5,"YES","NO"))</x:f>
      </x:c>
      <x:c r="R78" s="20" t="str"/>
    </x:row>
    <x:row r="79">
      <x:c r="A79" s="20" t="str">
        <x:v>T076</x:v>
      </x:c>
      <x:c r="B79" s="20" t="str">
        <x:v>2026-10-07</x:v>
      </x:c>
      <x:c r="C79" s="20" t="str">
        <x:v>W3</x:v>
      </x:c>
      <x:c r="D79" s="20" t="str">
        <x:v>1. Literature Review</x:v>
      </x:c>
      <x:c r="E79" s="20" t="str">
        <x:v>Literature Review</x:v>
      </x:c>
      <x:c r="F79" s="20" t="str">
        <x:v>Finalise sub-gap 1 evidence: liquidity/execution friction</x:v>
      </x:c>
      <x:c r="G79" s="20" t="str">
        <x:v>Sub-gap 1 evidence set</x:v>
      </x:c>
      <x:c r="H79" s="20" t="n">
        <x:v>0.75</x:v>
      </x:c>
      <x:c r="I79" s="20" t="str">
        <x:v>High</x:v>
      </x:c>
      <x:c r="J79" s="20" t="str"/>
      <x:c r="K79" s="20" t="str"/>
      <x:c r="L79" s="20" t="str">
        <x:v>Not Started</x:v>
      </x:c>
      <x:c r="M79" s="20" t="n">
        <x:f>IF(L79="Completed",100,IF(L79="In Progress",50,0))</x:f>
        <x:v>0</x:v>
      </x:c>
      <x:c r="N79" s="20" t="str"/>
      <x:c r="O79" s="20" t="str"/>
      <x:c r="P79" s="20" t="str"/>
      <x:c r="Q79" s="20" t="str">
        <x:f>IF(OR(L79&lt;&gt;"Completed",P79=""),"",IF(P79&lt;4.5,"YES","NO"))</x:f>
      </x:c>
      <x:c r="R79" s="20" t="str"/>
    </x:row>
    <x:row r="80">
      <x:c r="A80" s="20" t="str">
        <x:v>T077</x:v>
      </x:c>
      <x:c r="B80" s="20" t="str">
        <x:v>2026-10-07</x:v>
      </x:c>
      <x:c r="C80" s="20" t="str">
        <x:v>W3</x:v>
      </x:c>
      <x:c r="D80" s="20" t="str">
        <x:v>3. PPRS Handout</x:v>
      </x:c>
      <x:c r="E80" s="20" t="str">
        <x:v>Methodology</x:v>
      </x:c>
      <x:c r="F80" s="20" t="str">
        <x:v>Draft baseline-comparison methodology</x:v>
      </x:c>
      <x:c r="G80" s="20" t="str">
        <x:v>Baseline methodology draft</x:v>
      </x:c>
      <x:c r="H80" s="20" t="n">
        <x:v>0.75</x:v>
      </x:c>
      <x:c r="I80" s="20" t="str">
        <x:v>High</x:v>
      </x:c>
      <x:c r="J80" s="20" t="str"/>
      <x:c r="K80" s="20" t="str"/>
      <x:c r="L80" s="20" t="str">
        <x:v>Not Started</x:v>
      </x:c>
      <x:c r="M80" s="20" t="n">
        <x:f>IF(L80="Completed",100,IF(L80="In Progress",50,0))</x:f>
        <x:v>0</x:v>
      </x:c>
      <x:c r="N80" s="20" t="str"/>
      <x:c r="O80" s="20" t="str"/>
      <x:c r="P80" s="20" t="str"/>
      <x:c r="Q80" s="20" t="str">
        <x:f>IF(OR(L80&lt;&gt;"Completed",P80=""),"",IF(P80&lt;4.5,"YES","NO"))</x:f>
      </x:c>
      <x:c r="R80" s="20" t="str"/>
    </x:row>
    <x:row r="81">
      <x:c r="A81" s="20" t="str">
        <x:v>T078</x:v>
      </x:c>
      <x:c r="B81" s="20" t="str">
        <x:v>2026-10-07</x:v>
      </x:c>
      <x:c r="C81" s="20" t="str">
        <x:v>W3</x:v>
      </x:c>
      <x:c r="D81" s="20" t="str">
        <x:v>3. PPRS Handout</x:v>
      </x:c>
      <x:c r="E81" s="20" t="str">
        <x:v>PPRS Handout</x:v>
      </x:c>
      <x:c r="F81" s="20" t="str">
        <x:v>Draft Sub-gap 1 subsection</x:v>
      </x:c>
      <x:c r="G81" s="20" t="str">
        <x:v>Sub-gap 1 draft</x:v>
      </x:c>
      <x:c r="H81" s="20" t="n">
        <x:v>0.5</x:v>
      </x:c>
      <x:c r="I81" s="20" t="str">
        <x:v>High</x:v>
      </x:c>
      <x:c r="J81" s="20" t="str"/>
      <x:c r="K81" s="20" t="str"/>
      <x:c r="L81" s="20" t="str">
        <x:v>Not Started</x:v>
      </x:c>
      <x:c r="M81" s="20" t="n">
        <x:f>IF(L81="Completed",100,IF(L81="In Progress",50,0))</x:f>
        <x:v>0</x:v>
      </x:c>
      <x:c r="N81" s="20" t="str"/>
      <x:c r="O81" s="20" t="str"/>
      <x:c r="P81" s="20" t="str"/>
      <x:c r="Q81" s="20" t="str">
        <x:f>IF(OR(L81&lt;&gt;"Completed",P81=""),"",IF(P81&lt;4.5,"YES","NO"))</x:f>
      </x:c>
      <x:c r="R81" s="20" t="str"/>
    </x:row>
    <x:row r="82">
      <x:c r="A82" s="20" t="str">
        <x:v>T079</x:v>
      </x:c>
      <x:c r="B82" s="20" t="str">
        <x:v>2026-10-07</x:v>
      </x:c>
      <x:c r="C82" s="20" t="str">
        <x:v>W3</x:v>
      </x:c>
      <x:c r="D82" s="20" t="str">
        <x:v>4. Proof of Concept</x:v>
      </x:c>
      <x:c r="E82" s="20" t="str">
        <x:v>PoC</x:v>
      </x:c>
      <x:c r="F82" s="20" t="str">
        <x:v>Create unified agent-output table for technical, liquidity, volatility and fundamental agents</x:v>
      </x:c>
      <x:c r="G82" s="20" t="str">
        <x:v>Unified agent-output table</x:v>
      </x:c>
      <x:c r="H82" s="20" t="n">
        <x:v>1</x:v>
      </x:c>
      <x:c r="I82" s="20" t="str">
        <x:v>High</x:v>
      </x:c>
      <x:c r="J82" s="20" t="str"/>
      <x:c r="K82" s="20" t="str"/>
      <x:c r="L82" s="20" t="str">
        <x:v>Not Started</x:v>
      </x:c>
      <x:c r="M82" s="20" t="n">
        <x:f>IF(L82="Completed",100,IF(L82="In Progress",50,0))</x:f>
        <x:v>0</x:v>
      </x:c>
      <x:c r="N82" s="20" t="str"/>
      <x:c r="O82" s="20" t="str"/>
      <x:c r="P82" s="20" t="str"/>
      <x:c r="Q82" s="20" t="str">
        <x:f>IF(OR(L82&lt;&gt;"Completed",P82=""),"",IF(P82&lt;4.5,"YES","NO"))</x:f>
      </x:c>
      <x:c r="R82" s="20" t="str"/>
    </x:row>
    <x:row r="83">
      <x:c r="A83" s="20" t="str">
        <x:v>T080</x:v>
      </x:c>
      <x:c r="B83" s="20" t="str">
        <x:v>2026-10-08</x:v>
      </x:c>
      <x:c r="C83" s="20" t="str">
        <x:v>W3</x:v>
      </x:c>
      <x:c r="D83" s="20" t="str">
        <x:v>1. Literature Review</x:v>
      </x:c>
      <x:c r="E83" s="20" t="str">
        <x:v>Literature Review</x:v>
      </x:c>
      <x:c r="F83" s="20" t="str">
        <x:v>Finalise sub-gap 2 evidence: volatility persistence and risk control</x:v>
      </x:c>
      <x:c r="G83" s="20" t="str">
        <x:v>Sub-gap 2 evidence set</x:v>
      </x:c>
      <x:c r="H83" s="20" t="n">
        <x:v>0.75</x:v>
      </x:c>
      <x:c r="I83" s="20" t="str">
        <x:v>High</x:v>
      </x:c>
      <x:c r="J83" s="20" t="str"/>
      <x:c r="K83" s="20" t="str"/>
      <x:c r="L83" s="20" t="str">
        <x:v>Not Started</x:v>
      </x:c>
      <x:c r="M83" s="20" t="n">
        <x:f>IF(L83="Completed",100,IF(L83="In Progress",50,0))</x:f>
        <x:v>0</x:v>
      </x:c>
      <x:c r="N83" s="20" t="str"/>
      <x:c r="O83" s="20" t="str"/>
      <x:c r="P83" s="20" t="str"/>
      <x:c r="Q83" s="20" t="str">
        <x:f>IF(OR(L83&lt;&gt;"Completed",P83=""),"",IF(P83&lt;4.5,"YES","NO"))</x:f>
      </x:c>
      <x:c r="R83" s="20" t="str"/>
    </x:row>
    <x:row r="84">
      <x:c r="A84" s="20" t="str">
        <x:v>T081</x:v>
      </x:c>
      <x:c r="B84" s="20" t="str">
        <x:v>2026-10-08</x:v>
      </x:c>
      <x:c r="C84" s="20" t="str">
        <x:v>W3</x:v>
      </x:c>
      <x:c r="D84" s="20" t="str">
        <x:v>3. PPRS Handout</x:v>
      </x:c>
      <x:c r="E84" s="20" t="str">
        <x:v>Methodology</x:v>
      </x:c>
      <x:c r="F84" s="20" t="str">
        <x:v>Draft ablation-study methodology</x:v>
      </x:c>
      <x:c r="G84" s="20" t="str">
        <x:v>Ablation methodology draft</x:v>
      </x:c>
      <x:c r="H84" s="20" t="n">
        <x:v>0.75</x:v>
      </x:c>
      <x:c r="I84" s="20" t="str">
        <x:v>High</x:v>
      </x:c>
      <x:c r="J84" s="20" t="str"/>
      <x:c r="K84" s="20" t="str"/>
      <x:c r="L84" s="20" t="str">
        <x:v>Not Started</x:v>
      </x:c>
      <x:c r="M84" s="20" t="n">
        <x:f>IF(L84="Completed",100,IF(L84="In Progress",50,0))</x:f>
        <x:v>0</x:v>
      </x:c>
      <x:c r="N84" s="20" t="str"/>
      <x:c r="O84" s="20" t="str"/>
      <x:c r="P84" s="20" t="str"/>
      <x:c r="Q84" s="20" t="str">
        <x:f>IF(OR(L84&lt;&gt;"Completed",P84=""),"",IF(P84&lt;4.5,"YES","NO"))</x:f>
      </x:c>
      <x:c r="R84" s="20" t="str"/>
    </x:row>
    <x:row r="85">
      <x:c r="A85" s="20" t="str">
        <x:v>T082</x:v>
      </x:c>
      <x:c r="B85" s="20" t="str">
        <x:v>2026-10-08</x:v>
      </x:c>
      <x:c r="C85" s="20" t="str">
        <x:v>W3</x:v>
      </x:c>
      <x:c r="D85" s="20" t="str">
        <x:v>3. PPRS Handout</x:v>
      </x:c>
      <x:c r="E85" s="20" t="str">
        <x:v>PPRS Handout</x:v>
      </x:c>
      <x:c r="F85" s="20" t="str">
        <x:v>Draft Sub-gap 2 subsection</x:v>
      </x:c>
      <x:c r="G85" s="20" t="str">
        <x:v>Sub-gap 2 draft</x:v>
      </x:c>
      <x:c r="H85" s="20" t="n">
        <x:v>0.5</x:v>
      </x:c>
      <x:c r="I85" s="20" t="str">
        <x:v>High</x:v>
      </x:c>
      <x:c r="J85" s="20" t="str"/>
      <x:c r="K85" s="20" t="str"/>
      <x:c r="L85" s="20" t="str">
        <x:v>Not Started</x:v>
      </x:c>
      <x:c r="M85" s="20" t="n">
        <x:f>IF(L85="Completed",100,IF(L85="In Progress",50,0))</x:f>
        <x:v>0</x:v>
      </x:c>
      <x:c r="N85" s="20" t="str"/>
      <x:c r="O85" s="20" t="str"/>
      <x:c r="P85" s="20" t="str"/>
      <x:c r="Q85" s="20" t="str">
        <x:f>IF(OR(L85&lt;&gt;"Completed",P85=""),"",IF(P85&lt;4.5,"YES","NO"))</x:f>
      </x:c>
      <x:c r="R85" s="20" t="str"/>
    </x:row>
    <x:row r="86">
      <x:c r="A86" s="20" t="str">
        <x:v>T083</x:v>
      </x:c>
      <x:c r="B86" s="20" t="str">
        <x:v>2026-10-08</x:v>
      </x:c>
      <x:c r="C86" s="20" t="str">
        <x:v>W3</x:v>
      </x:c>
      <x:c r="D86" s="20" t="str">
        <x:v>4. Proof of Concept</x:v>
      </x:c>
      <x:c r="E86" s="20" t="str">
        <x:v>PoC</x:v>
      </x:c>
      <x:c r="F86" s="20" t="str">
        <x:v>Implement static equal-weight orchestration over unified agent outputs</x:v>
      </x:c>
      <x:c r="G86" s="20" t="str">
        <x:v>Static orchestration output</x:v>
      </x:c>
      <x:c r="H86" s="20" t="n">
        <x:v>1</x:v>
      </x:c>
      <x:c r="I86" s="20" t="str">
        <x:v>High</x:v>
      </x:c>
      <x:c r="J86" s="20" t="str"/>
      <x:c r="K86" s="20" t="str"/>
      <x:c r="L86" s="20" t="str">
        <x:v>Not Started</x:v>
      </x:c>
      <x:c r="M86" s="20" t="n">
        <x:f>IF(L86="Completed",100,IF(L86="In Progress",50,0))</x:f>
        <x:v>0</x:v>
      </x:c>
      <x:c r="N86" s="20" t="str"/>
      <x:c r="O86" s="20" t="str"/>
      <x:c r="P86" s="20" t="str"/>
      <x:c r="Q86" s="20" t="str">
        <x:f>IF(OR(L86&lt;&gt;"Completed",P86=""),"",IF(P86&lt;4.5,"YES","NO"))</x:f>
      </x:c>
      <x:c r="R86" s="20" t="str"/>
    </x:row>
    <x:row r="87">
      <x:c r="A87" s="20" t="str">
        <x:v>T084</x:v>
      </x:c>
      <x:c r="B87" s="20" t="str">
        <x:v>2026-10-09</x:v>
      </x:c>
      <x:c r="C87" s="20" t="str">
        <x:v>W3</x:v>
      </x:c>
      <x:c r="D87" s="20" t="str">
        <x:v>1. Literature Review</x:v>
      </x:c>
      <x:c r="E87" s="20" t="str">
        <x:v>Literature Review</x:v>
      </x:c>
      <x:c r="F87" s="20" t="str">
        <x:v>Close remaining unread or incomplete literature rows needed for the gap</x:v>
      </x:c>
      <x:c r="G87" s="20" t="str">
        <x:v>No critical LR row left incomplete</x:v>
      </x:c>
      <x:c r="H87" s="20" t="n">
        <x:v>0.75</x:v>
      </x:c>
      <x:c r="I87" s="20" t="str">
        <x:v>High</x:v>
      </x:c>
      <x:c r="J87" s="20" t="str"/>
      <x:c r="K87" s="20" t="str"/>
      <x:c r="L87" s="20" t="str">
        <x:v>Not Started</x:v>
      </x:c>
      <x:c r="M87" s="20" t="n">
        <x:f>IF(L87="Completed",100,IF(L87="In Progress",50,0))</x:f>
        <x:v>0</x:v>
      </x:c>
      <x:c r="N87" s="20" t="str"/>
      <x:c r="O87" s="20" t="str"/>
      <x:c r="P87" s="20" t="str"/>
      <x:c r="Q87" s="20" t="str">
        <x:f>IF(OR(L87&lt;&gt;"Completed",P87=""),"",IF(P87&lt;4.5,"YES","NO"))</x:f>
      </x:c>
      <x:c r="R87" s="20" t="str"/>
    </x:row>
    <x:row r="88">
      <x:c r="A88" s="20" t="str">
        <x:v>T085</x:v>
      </x:c>
      <x:c r="B88" s="20" t="str">
        <x:v>2026-10-09</x:v>
      </x:c>
      <x:c r="C88" s="20" t="str">
        <x:v>W3</x:v>
      </x:c>
      <x:c r="D88" s="20" t="str">
        <x:v>3. PPRS Handout</x:v>
      </x:c>
      <x:c r="E88" s="20" t="str">
        <x:v>Methodology</x:v>
      </x:c>
      <x:c r="F88" s="20" t="str">
        <x:v>Draft evaluation metrics section</x:v>
      </x:c>
      <x:c r="G88" s="20" t="str">
        <x:v>Evaluation metrics draft</x:v>
      </x:c>
      <x:c r="H88" s="20" t="n">
        <x:v>0.5</x:v>
      </x:c>
      <x:c r="I88" s="20" t="str">
        <x:v>High</x:v>
      </x:c>
      <x:c r="J88" s="20" t="str"/>
      <x:c r="K88" s="20" t="str"/>
      <x:c r="L88" s="20" t="str">
        <x:v>Not Started</x:v>
      </x:c>
      <x:c r="M88" s="20" t="n">
        <x:f>IF(L88="Completed",100,IF(L88="In Progress",50,0))</x:f>
        <x:v>0</x:v>
      </x:c>
      <x:c r="N88" s="20" t="str"/>
      <x:c r="O88" s="20" t="str"/>
      <x:c r="P88" s="20" t="str"/>
      <x:c r="Q88" s="20" t="str">
        <x:f>IF(OR(L88&lt;&gt;"Completed",P88=""),"",IF(P88&lt;4.5,"YES","NO"))</x:f>
      </x:c>
      <x:c r="R88" s="20" t="str"/>
    </x:row>
    <x:row r="89">
      <x:c r="A89" s="20" t="str">
        <x:v>T086</x:v>
      </x:c>
      <x:c r="B89" s="20" t="str">
        <x:v>2026-10-09</x:v>
      </x:c>
      <x:c r="C89" s="20" t="str">
        <x:v>W3</x:v>
      </x:c>
      <x:c r="D89" s="20" t="str">
        <x:v>3. PPRS Handout</x:v>
      </x:c>
      <x:c r="E89" s="20" t="str">
        <x:v>PPRS Handout</x:v>
      </x:c>
      <x:c r="F89" s="20" t="str">
        <x:v>Revise Aim, Research Questions and Objectives for exact alignment with gap</x:v>
      </x:c>
      <x:c r="G89" s="20" t="str">
        <x:v>Aim/RQs/Objectives v0.9</x:v>
      </x:c>
      <x:c r="H89" s="20" t="n">
        <x:v>0.75</x:v>
      </x:c>
      <x:c r="I89" s="20" t="str">
        <x:v>High</x:v>
      </x:c>
      <x:c r="J89" s="20" t="str"/>
      <x:c r="K89" s="20" t="str"/>
      <x:c r="L89" s="20" t="str">
        <x:v>Not Started</x:v>
      </x:c>
      <x:c r="M89" s="20" t="n">
        <x:f>IF(L89="Completed",100,IF(L89="In Progress",50,0))</x:f>
        <x:v>0</x:v>
      </x:c>
      <x:c r="N89" s="20" t="str"/>
      <x:c r="O89" s="20" t="str"/>
      <x:c r="P89" s="20" t="str"/>
      <x:c r="Q89" s="20" t="str">
        <x:f>IF(OR(L89&lt;&gt;"Completed",P89=""),"",IF(P89&lt;4.5,"YES","NO"))</x:f>
      </x:c>
      <x:c r="R89" s="20" t="str"/>
    </x:row>
    <x:row r="90">
      <x:c r="A90" s="20" t="str">
        <x:v>T087</x:v>
      </x:c>
      <x:c r="B90" s="20" t="str">
        <x:v>2026-10-09</x:v>
      </x:c>
      <x:c r="C90" s="20" t="str">
        <x:v>W3</x:v>
      </x:c>
      <x:c r="D90" s="20" t="str">
        <x:v>4. Proof of Concept</x:v>
      </x:c>
      <x:c r="E90" s="20" t="str">
        <x:v>PoC</x:v>
      </x:c>
      <x:c r="F90" s="20" t="str">
        <x:v>Define initial adaptive-weighting rule using liquidity, volatility/persistence and agent confidence</x:v>
      </x:c>
      <x:c r="G90" s="20" t="str">
        <x:v>Adaptive-weighting rule v0.1</x:v>
      </x:c>
      <x:c r="H90" s="20" t="n">
        <x:v>1</x:v>
      </x:c>
      <x:c r="I90" s="20" t="str">
        <x:v>High</x:v>
      </x:c>
      <x:c r="J90" s="20" t="str"/>
      <x:c r="K90" s="20" t="str"/>
      <x:c r="L90" s="20" t="str">
        <x:v>Not Started</x:v>
      </x:c>
      <x:c r="M90" s="20" t="n">
        <x:f>IF(L90="Completed",100,IF(L90="In Progress",50,0))</x:f>
        <x:v>0</x:v>
      </x:c>
      <x:c r="N90" s="20" t="str"/>
      <x:c r="O90" s="20" t="str"/>
      <x:c r="P90" s="20" t="str"/>
      <x:c r="Q90" s="20" t="str">
        <x:f>IF(OR(L90&lt;&gt;"Completed",P90=""),"",IF(P90&lt;4.5,"YES","NO"))</x:f>
      </x:c>
      <x:c r="R90" s="20" t="str"/>
    </x:row>
    <x:row r="91">
      <x:c r="A91" s="20" t="str">
        <x:v>T088</x:v>
      </x:c>
      <x:c r="B91" s="20" t="str">
        <x:v>2026-10-10</x:v>
      </x:c>
      <x:c r="C91" s="20" t="str">
        <x:v>W3</x:v>
      </x:c>
      <x:c r="D91" s="20" t="str">
        <x:v>1. Literature Review</x:v>
      </x:c>
      <x:c r="E91" s="20" t="str">
        <x:v>Literature Review</x:v>
      </x:c>
      <x:c r="F91" s="20" t="str">
        <x:v>Prepare final thematic literature synthesis notes for writing</x:v>
      </x:c>
      <x:c r="G91" s="20" t="str">
        <x:v>Final LR synthesis notes</x:v>
      </x:c>
      <x:c r="H91" s="20" t="n">
        <x:v>0.75</x:v>
      </x:c>
      <x:c r="I91" s="20" t="str">
        <x:v>High</x:v>
      </x:c>
      <x:c r="J91" s="20" t="str"/>
      <x:c r="K91" s="20" t="str"/>
      <x:c r="L91" s="20" t="str">
        <x:v>Not Started</x:v>
      </x:c>
      <x:c r="M91" s="20" t="n">
        <x:f>IF(L91="Completed",100,IF(L91="In Progress",50,0))</x:f>
        <x:v>0</x:v>
      </x:c>
      <x:c r="N91" s="20" t="str"/>
      <x:c r="O91" s="20" t="str"/>
      <x:c r="P91" s="20" t="str"/>
      <x:c r="Q91" s="20" t="str">
        <x:f>IF(OR(L91&lt;&gt;"Completed",P91=""),"",IF(P91&lt;4.5,"YES","NO"))</x:f>
      </x:c>
      <x:c r="R91" s="20" t="str"/>
    </x:row>
    <x:row r="92">
      <x:c r="A92" s="20" t="str">
        <x:v>T089</x:v>
      </x:c>
      <x:c r="B92" s="20" t="str">
        <x:v>2026-10-10</x:v>
      </x:c>
      <x:c r="C92" s="20" t="str">
        <x:v>W3</x:v>
      </x:c>
      <x:c r="D92" s="20" t="str">
        <x:v>3. PPRS Handout</x:v>
      </x:c>
      <x:c r="E92" s="20" t="str">
        <x:v>Methodology</x:v>
      </x:c>
      <x:c r="F92" s="20" t="str">
        <x:v>Draft experimental split / walk-forward strategy</x:v>
      </x:c>
      <x:c r="G92" s="20" t="str">
        <x:v>Experimental split draft</x:v>
      </x:c>
      <x:c r="H92" s="20" t="n">
        <x:v>0.5</x:v>
      </x:c>
      <x:c r="I92" s="20" t="str">
        <x:v>High</x:v>
      </x:c>
      <x:c r="J92" s="20" t="str"/>
      <x:c r="K92" s="20" t="str"/>
      <x:c r="L92" s="20" t="str">
        <x:v>Not Started</x:v>
      </x:c>
      <x:c r="M92" s="20" t="n">
        <x:f>IF(L92="Completed",100,IF(L92="In Progress",50,0))</x:f>
        <x:v>0</x:v>
      </x:c>
      <x:c r="N92" s="20" t="str"/>
      <x:c r="O92" s="20" t="str"/>
      <x:c r="P92" s="20" t="str"/>
      <x:c r="Q92" s="20" t="str">
        <x:f>IF(OR(L92&lt;&gt;"Completed",P92=""),"",IF(P92&lt;4.5,"YES","NO"))</x:f>
      </x:c>
      <x:c r="R92" s="20" t="str"/>
    </x:row>
    <x:row r="93">
      <x:c r="A93" s="20" t="str">
        <x:v>T090</x:v>
      </x:c>
      <x:c r="B93" s="20" t="str">
        <x:v>2026-10-10</x:v>
      </x:c>
      <x:c r="C93" s="20" t="str">
        <x:v>W3</x:v>
      </x:c>
      <x:c r="D93" s="20" t="str">
        <x:v>3. PPRS Handout</x:v>
      </x:c>
      <x:c r="E93" s="20" t="str">
        <x:v>PPRS Handout</x:v>
      </x:c>
      <x:c r="F93" s="20" t="str">
        <x:v>Rewrite Literature Review as synthesis, removing paper-by-paper narration</x:v>
      </x:c>
      <x:c r="G93" s="20" t="str">
        <x:v>Literature Review v0.9</x:v>
      </x:c>
      <x:c r="H93" s="20" t="n">
        <x:v>1.25</x:v>
      </x:c>
      <x:c r="I93" s="20" t="str">
        <x:v>High</x:v>
      </x:c>
      <x:c r="J93" s="20" t="str"/>
      <x:c r="K93" s="20" t="str"/>
      <x:c r="L93" s="20" t="str">
        <x:v>Not Started</x:v>
      </x:c>
      <x:c r="M93" s="20" t="n">
        <x:f>IF(L93="Completed",100,IF(L93="In Progress",50,0))</x:f>
        <x:v>0</x:v>
      </x:c>
      <x:c r="N93" s="20" t="str"/>
      <x:c r="O93" s="20" t="str"/>
      <x:c r="P93" s="20" t="str"/>
      <x:c r="Q93" s="20" t="str">
        <x:f>IF(OR(L93&lt;&gt;"Completed",P93=""),"",IF(P93&lt;4.5,"YES","NO"))</x:f>
      </x:c>
      <x:c r="R93" s="20" t="str"/>
    </x:row>
    <x:row r="94">
      <x:c r="A94" s="20" t="str">
        <x:v>T091</x:v>
      </x:c>
      <x:c r="B94" s="20" t="str">
        <x:v>2026-10-10</x:v>
      </x:c>
      <x:c r="C94" s="20" t="str">
        <x:v>W3</x:v>
      </x:c>
      <x:c r="D94" s="20" t="str">
        <x:v>4. Proof of Concept</x:v>
      </x:c>
      <x:c r="E94" s="20" t="str">
        <x:v>PoC</x:v>
      </x:c>
      <x:c r="F94" s="20" t="str">
        <x:v>Implement adaptive orchestrator v0.1</x:v>
      </x:c>
      <x:c r="G94" s="20" t="str">
        <x:v>Adaptive orchestrator v0.1</x:v>
      </x:c>
      <x:c r="H94" s="20" t="n">
        <x:v>1.5</x:v>
      </x:c>
      <x:c r="I94" s="20" t="str">
        <x:v>High</x:v>
      </x:c>
      <x:c r="J94" s="20" t="str"/>
      <x:c r="K94" s="20" t="str"/>
      <x:c r="L94" s="20" t="str">
        <x:v>Not Started</x:v>
      </x:c>
      <x:c r="M94" s="20" t="n">
        <x:f>IF(L94="Completed",100,IF(L94="In Progress",50,0))</x:f>
        <x:v>0</x:v>
      </x:c>
      <x:c r="N94" s="20" t="str"/>
      <x:c r="O94" s="20" t="str"/>
      <x:c r="P94" s="20" t="str"/>
      <x:c r="Q94" s="20" t="str">
        <x:f>IF(OR(L94&lt;&gt;"Completed",P94=""),"",IF(P94&lt;4.5,"YES","NO"))</x:f>
      </x:c>
      <x:c r="R94" s="20" t="str"/>
    </x:row>
    <x:row r="95">
      <x:c r="A95" s="20" t="str">
        <x:v>T092</x:v>
      </x:c>
      <x:c r="B95" s="20" t="str">
        <x:v>2026-10-11</x:v>
      </x:c>
      <x:c r="C95" s="20" t="str">
        <x:v>W3</x:v>
      </x:c>
      <x:c r="D95" s="20" t="str">
        <x:v>3. PPRS Handout</x:v>
      </x:c>
      <x:c r="E95" s="20" t="str">
        <x:v>Methodology</x:v>
      </x:c>
      <x:c r="F95" s="20" t="str">
        <x:v>Draft risks, assumptions and limitations</x:v>
      </x:c>
      <x:c r="G95" s="20" t="str">
        <x:v>Methodology limitations draft</x:v>
      </x:c>
      <x:c r="H95" s="20" t="n">
        <x:v>1</x:v>
      </x:c>
      <x:c r="I95" s="20" t="str">
        <x:v>High</x:v>
      </x:c>
      <x:c r="J95" s="20" t="str"/>
      <x:c r="K95" s="20" t="str"/>
      <x:c r="L95" s="20" t="str">
        <x:v>Not Started</x:v>
      </x:c>
      <x:c r="M95" s="20" t="n">
        <x:f>IF(L95="Completed",100,IF(L95="In Progress",50,0))</x:f>
        <x:v>0</x:v>
      </x:c>
      <x:c r="N95" s="20" t="str"/>
      <x:c r="O95" s="20" t="str"/>
      <x:c r="P95" s="20" t="str"/>
      <x:c r="Q95" s="20" t="str">
        <x:f>IF(OR(L95&lt;&gt;"Completed",P95=""),"",IF(P95&lt;4.5,"YES","NO"))</x:f>
      </x:c>
      <x:c r="R95" s="20" t="str"/>
    </x:row>
    <x:row r="96">
      <x:c r="A96" s="20" t="str">
        <x:v>T093</x:v>
      </x:c>
      <x:c r="B96" s="20" t="str">
        <x:v>2026-10-11</x:v>
      </x:c>
      <x:c r="C96" s="20" t="str">
        <x:v>W3</x:v>
      </x:c>
      <x:c r="D96" s="20" t="str">
        <x:v>3. PPRS Handout</x:v>
      </x:c>
      <x:c r="E96" s="20" t="str">
        <x:v>PPRS Handout</x:v>
      </x:c>
      <x:c r="F96" s="20" t="str">
        <x:v>Complete first integrated draft of Introduction + Problem + Literature + Gap</x:v>
      </x:c>
      <x:c r="G96" s="20" t="str">
        <x:v>Handout front half v1.0</x:v>
      </x:c>
      <x:c r="H96" s="20" t="n">
        <x:v>2</x:v>
      </x:c>
      <x:c r="I96" s="20" t="str">
        <x:v>High</x:v>
      </x:c>
      <x:c r="J96" s="20" t="str"/>
      <x:c r="K96" s="20" t="str"/>
      <x:c r="L96" s="20" t="str">
        <x:v>Not Started</x:v>
      </x:c>
      <x:c r="M96" s="20" t="n">
        <x:f>IF(L96="Completed",100,IF(L96="In Progress",50,0))</x:f>
        <x:v>0</x:v>
      </x:c>
      <x:c r="N96" s="20" t="str"/>
      <x:c r="O96" s="20" t="str"/>
      <x:c r="P96" s="20" t="str"/>
      <x:c r="Q96" s="20" t="str">
        <x:f>IF(OR(L96&lt;&gt;"Completed",P96=""),"",IF(P96&lt;4.5,"YES","NO"))</x:f>
      </x:c>
      <x:c r="R96" s="20" t="str"/>
    </x:row>
    <x:row r="97">
      <x:c r="A97" s="20" t="str">
        <x:v>T094</x:v>
      </x:c>
      <x:c r="B97" s="20" t="str">
        <x:v>2026-10-11</x:v>
      </x:c>
      <x:c r="C97" s="20" t="str">
        <x:v>W3</x:v>
      </x:c>
      <x:c r="D97" s="20" t="str">
        <x:v>4. Proof of Concept</x:v>
      </x:c>
      <x:c r="E97" s="20" t="str">
        <x:v>PoC</x:v>
      </x:c>
      <x:c r="F97" s="20" t="str">
        <x:v>Run one ablation removing liquidity conditioning</x:v>
      </x:c>
      <x:c r="G97" s="20" t="str">
        <x:v>Ablation result: -liquidity</x:v>
      </x:c>
      <x:c r="H97" s="20" t="n">
        <x:v>1</x:v>
      </x:c>
      <x:c r="I97" s="20" t="str">
        <x:v>High</x:v>
      </x:c>
      <x:c r="J97" s="20" t="str"/>
      <x:c r="K97" s="20" t="str"/>
      <x:c r="L97" s="20" t="str">
        <x:v>Not Started</x:v>
      </x:c>
      <x:c r="M97" s="20" t="n">
        <x:f>IF(L97="Completed",100,IF(L97="In Progress",50,0))</x:f>
        <x:v>0</x:v>
      </x:c>
      <x:c r="N97" s="20" t="str"/>
      <x:c r="O97" s="20" t="str"/>
      <x:c r="P97" s="20" t="str"/>
      <x:c r="Q97" s="20" t="str">
        <x:f>IF(OR(L97&lt;&gt;"Completed",P97=""),"",IF(P97&lt;4.5,"YES","NO"))</x:f>
      </x:c>
      <x:c r="R97" s="20" t="str"/>
    </x:row>
    <x:row r="98">
      <x:c r="A98" s="20" t="str">
        <x:v>T095</x:v>
      </x:c>
      <x:c r="B98" s="20" t="str">
        <x:v>2026-10-11</x:v>
      </x:c>
      <x:c r="C98" s="20" t="str">
        <x:v>W3</x:v>
      </x:c>
      <x:c r="D98" s="20" t="str">
        <x:v>4. Proof of Concept</x:v>
      </x:c>
      <x:c r="E98" s="20" t="str">
        <x:v>PoC</x:v>
      </x:c>
      <x:c r="F98" s="20" t="str">
        <x:v>Run static vs adaptive orchestration on a small sample</x:v>
      </x:c>
      <x:c r="G98" s="20" t="str">
        <x:v>Preliminary comparison results</x:v>
      </x:c>
      <x:c r="H98" s="20" t="n">
        <x:v>2</x:v>
      </x:c>
      <x:c r="I98" s="20" t="str">
        <x:v>High</x:v>
      </x:c>
      <x:c r="J98" s="20" t="str"/>
      <x:c r="K98" s="20" t="str"/>
      <x:c r="L98" s="20" t="str">
        <x:v>Not Started</x:v>
      </x:c>
      <x:c r="M98" s="20" t="n">
        <x:f>IF(L98="Completed",100,IF(L98="In Progress",50,0))</x:f>
        <x:v>0</x:v>
      </x:c>
      <x:c r="N98" s="20" t="str"/>
      <x:c r="O98" s="20" t="str"/>
      <x:c r="P98" s="20" t="str"/>
      <x:c r="Q98" s="20" t="str">
        <x:f>IF(OR(L98&lt;&gt;"Completed",P98=""),"",IF(P98&lt;4.5,"YES","NO"))</x:f>
      </x:c>
      <x:c r="R98" s="20" t="str"/>
    </x:row>
    <x:row r="99">
      <x:c r="A99" s="20" t="str">
        <x:v>T096</x:v>
      </x:c>
      <x:c r="B99" s="20" t="str">
        <x:v>2026-10-11</x:v>
      </x:c>
      <x:c r="C99" s="20" t="str">
        <x:v>W3</x:v>
      </x:c>
      <x:c r="D99" s="20" t="str">
        <x:v>Supporting / QA</x:v>
      </x:c>
      <x:c r="E99" s="20" t="str">
        <x:v>Project Control</x:v>
      </x:c>
      <x:c r="F99" s="20" t="str">
        <x:v>Run Week 3 review and freeze the core research scope</x:v>
      </x:c>
      <x:c r="G99" s="20" t="str">
        <x:v>Scope freeze record</x:v>
      </x:c>
      <x:c r="H99" s="20" t="n">
        <x:v>2</x:v>
      </x:c>
      <x:c r="I99" s="20" t="str">
        <x:v>High</x:v>
      </x:c>
      <x:c r="J99" s="20" t="str"/>
      <x:c r="K99" s="20" t="str">
        <x:v>Core scope frozen</x:v>
      </x:c>
      <x:c r="L99" s="20" t="str">
        <x:v>Not Started</x:v>
      </x:c>
      <x:c r="M99" s="20" t="n">
        <x:f>IF(L99="Completed",100,IF(L99="In Progress",50,0))</x:f>
        <x:v>0</x:v>
      </x:c>
      <x:c r="N99" s="20" t="str"/>
      <x:c r="O99" s="20" t="str"/>
      <x:c r="P99" s="20" t="str"/>
      <x:c r="Q99" s="20" t="str">
        <x:f>IF(OR(L99&lt;&gt;"Completed",P99=""),"",IF(P99&lt;4.5,"YES","NO"))</x:f>
      </x:c>
      <x:c r="R99" s="20" t="str"/>
    </x:row>
    <x:row r="100">
      <x:c r="A100" s="20" t="str">
        <x:v>T097</x:v>
      </x:c>
      <x:c r="B100" s="20" t="str">
        <x:v>2026-10-12</x:v>
      </x:c>
      <x:c r="C100" s="20" t="str">
        <x:v>W4</x:v>
      </x:c>
      <x:c r="D100" s="20" t="str">
        <x:v>3. PPRS Handout</x:v>
      </x:c>
      <x:c r="E100" s="20" t="str">
        <x:v>Methodology</x:v>
      </x:c>
      <x:c r="F100" s="20" t="str">
        <x:v>Formalise the adaptive orchestration function and variables mathematically</x:v>
      </x:c>
      <x:c r="G100" s="20" t="str">
        <x:v>Formal orchestration definition</x:v>
      </x:c>
      <x:c r="H100" s="20" t="n">
        <x:v>1</x:v>
      </x:c>
      <x:c r="I100" s="20" t="str">
        <x:v>High</x:v>
      </x:c>
      <x:c r="J100" s="20" t="str"/>
      <x:c r="K100" s="20" t="str"/>
      <x:c r="L100" s="20" t="str">
        <x:v>Not Started</x:v>
      </x:c>
      <x:c r="M100" s="20" t="n">
        <x:f>IF(L100="Completed",100,IF(L100="In Progress",50,0))</x:f>
        <x:v>0</x:v>
      </x:c>
      <x:c r="N100" s="20" t="str"/>
      <x:c r="O100" s="20" t="str"/>
      <x:c r="P100" s="20" t="str"/>
      <x:c r="Q100" s="20" t="str">
        <x:f>IF(OR(L100&lt;&gt;"Completed",P100=""),"",IF(P100&lt;4.5,"YES","NO"))</x:f>
      </x:c>
      <x:c r="R100" s="20" t="str"/>
    </x:row>
    <x:row r="101">
      <x:c r="A101" s="20" t="str">
        <x:v>T098</x:v>
      </x:c>
      <x:c r="B101" s="20" t="str">
        <x:v>2026-10-12</x:v>
      </x:c>
      <x:c r="C101" s="20" t="str">
        <x:v>W4</x:v>
      </x:c>
      <x:c r="D101" s="20" t="str">
        <x:v>3. PPRS Handout</x:v>
      </x:c>
      <x:c r="E101" s="20" t="str">
        <x:v>PPRS Handout</x:v>
      </x:c>
      <x:c r="F101" s="20" t="str">
        <x:v>Insert formal orchestration definition into methodology</x:v>
      </x:c>
      <x:c r="G101" s="20" t="str">
        <x:v>Methodology formula section</x:v>
      </x:c>
      <x:c r="H101" s="20" t="n">
        <x:v>0.75</x:v>
      </x:c>
      <x:c r="I101" s="20" t="str">
        <x:v>High</x:v>
      </x:c>
      <x:c r="J101" s="20" t="str"/>
      <x:c r="K101" s="20" t="str"/>
      <x:c r="L101" s="20" t="str">
        <x:v>Not Started</x:v>
      </x:c>
      <x:c r="M101" s="20" t="n">
        <x:f>IF(L101="Completed",100,IF(L101="In Progress",50,0))</x:f>
        <x:v>0</x:v>
      </x:c>
      <x:c r="N101" s="20" t="str"/>
      <x:c r="O101" s="20" t="str"/>
      <x:c r="P101" s="20" t="str"/>
      <x:c r="Q101" s="20" t="str">
        <x:f>IF(OR(L101&lt;&gt;"Completed",P101=""),"",IF(P101&lt;4.5,"YES","NO"))</x:f>
      </x:c>
      <x:c r="R101" s="20" t="str"/>
    </x:row>
    <x:row r="102">
      <x:c r="A102" s="20" t="str">
        <x:v>T099</x:v>
      </x:c>
      <x:c r="B102" s="20" t="str">
        <x:v>2026-10-12</x:v>
      </x:c>
      <x:c r="C102" s="20" t="str">
        <x:v>W4</x:v>
      </x:c>
      <x:c r="D102" s="20" t="str">
        <x:v>4. Proof of Concept</x:v>
      </x:c>
      <x:c r="E102" s="20" t="str">
        <x:v>PoC</x:v>
      </x:c>
      <x:c r="F102" s="20" t="str">
        <x:v>Refactor orchestrator to match the formal definition</x:v>
      </x:c>
      <x:c r="G102" s="20" t="str">
        <x:v>Adaptive orchestrator v0.2</x:v>
      </x:c>
      <x:c r="H102" s="20" t="n">
        <x:v>1</x:v>
      </x:c>
      <x:c r="I102" s="20" t="str">
        <x:v>High</x:v>
      </x:c>
      <x:c r="J102" s="20" t="str"/>
      <x:c r="K102" s="20" t="str"/>
      <x:c r="L102" s="20" t="str">
        <x:v>Not Started</x:v>
      </x:c>
      <x:c r="M102" s="20" t="n">
        <x:f>IF(L102="Completed",100,IF(L102="In Progress",50,0))</x:f>
        <x:v>0</x:v>
      </x:c>
      <x:c r="N102" s="20" t="str"/>
      <x:c r="O102" s="20" t="str"/>
      <x:c r="P102" s="20" t="str"/>
      <x:c r="Q102" s="20" t="str">
        <x:f>IF(OR(L102&lt;&gt;"Completed",P102=""),"",IF(P102&lt;4.5,"YES","NO"))</x:f>
      </x:c>
      <x:c r="R102" s="20" t="str"/>
    </x:row>
    <x:row r="103">
      <x:c r="A103" s="20" t="str">
        <x:v>T100</x:v>
      </x:c>
      <x:c r="B103" s="20" t="str">
        <x:v>2026-10-12</x:v>
      </x:c>
      <x:c r="C103" s="20" t="str">
        <x:v>W4</x:v>
      </x:c>
      <x:c r="D103" s="20" t="str">
        <x:v>2. Requirement Elicitation</x:v>
      </x:c>
      <x:c r="E103" s="20" t="str">
        <x:v>Requirement Elicitation</x:v>
      </x:c>
      <x:c r="F103" s="20" t="str">
        <x:v>Verify PoC design satisfies all Must requirements</x:v>
      </x:c>
      <x:c r="G103" s="20" t="str">
        <x:v>Requirements verification note</x:v>
      </x:c>
      <x:c r="H103" s="20" t="n">
        <x:v>0.25</x:v>
      </x:c>
      <x:c r="I103" s="20" t="str">
        <x:v>High</x:v>
      </x:c>
      <x:c r="J103" s="20" t="str"/>
      <x:c r="K103" s="20" t="str"/>
      <x:c r="L103" s="20" t="str">
        <x:v>Not Started</x:v>
      </x:c>
      <x:c r="M103" s="20" t="n">
        <x:f>IF(L103="Completed",100,IF(L103="In Progress",50,0))</x:f>
        <x:v>0</x:v>
      </x:c>
      <x:c r="N103" s="20" t="str"/>
      <x:c r="O103" s="20" t="str"/>
      <x:c r="P103" s="20" t="str"/>
      <x:c r="Q103" s="20" t="str">
        <x:f>IF(OR(L103&lt;&gt;"Completed",P103=""),"",IF(P103&lt;4.5,"YES","NO"))</x:f>
      </x:c>
      <x:c r="R103" s="20" t="str"/>
    </x:row>
    <x:row r="104">
      <x:c r="A104" s="20" t="str">
        <x:v>T101</x:v>
      </x:c>
      <x:c r="B104" s="20" t="str">
        <x:v>2026-10-13</x:v>
      </x:c>
      <x:c r="C104" s="20" t="str">
        <x:v>W4</x:v>
      </x:c>
      <x:c r="D104" s="20" t="str">
        <x:v>3. PPRS Handout</x:v>
      </x:c>
      <x:c r="E104" s="20" t="str">
        <x:v>Methodology</x:v>
      </x:c>
      <x:c r="F104" s="20" t="str">
        <x:v>Define agent-confidence calculation or calibration method</x:v>
      </x:c>
      <x:c r="G104" s="20" t="str">
        <x:v>Confidence methodology</x:v>
      </x:c>
      <x:c r="H104" s="20" t="n">
        <x:v>0.75</x:v>
      </x:c>
      <x:c r="I104" s="20" t="str">
        <x:v>High</x:v>
      </x:c>
      <x:c r="J104" s="20" t="str"/>
      <x:c r="K104" s="20" t="str"/>
      <x:c r="L104" s="20" t="str">
        <x:v>Not Started</x:v>
      </x:c>
      <x:c r="M104" s="20" t="n">
        <x:f>IF(L104="Completed",100,IF(L104="In Progress",50,0))</x:f>
        <x:v>0</x:v>
      </x:c>
      <x:c r="N104" s="20" t="str"/>
      <x:c r="O104" s="20" t="str"/>
      <x:c r="P104" s="20" t="str"/>
      <x:c r="Q104" s="20" t="str">
        <x:f>IF(OR(L104&lt;&gt;"Completed",P104=""),"",IF(P104&lt;4.5,"YES","NO"))</x:f>
      </x:c>
      <x:c r="R104" s="20" t="str"/>
    </x:row>
    <x:row r="105">
      <x:c r="A105" s="20" t="str">
        <x:v>T102</x:v>
      </x:c>
      <x:c r="B105" s="20" t="str">
        <x:v>2026-10-13</x:v>
      </x:c>
      <x:c r="C105" s="20" t="str">
        <x:v>W4</x:v>
      </x:c>
      <x:c r="D105" s="20" t="str">
        <x:v>3. PPRS Handout</x:v>
      </x:c>
      <x:c r="E105" s="20" t="str">
        <x:v>PPRS Handout</x:v>
      </x:c>
      <x:c r="F105" s="20" t="str">
        <x:v>Draft agent architecture subsection</x:v>
      </x:c>
      <x:c r="G105" s="20" t="str">
        <x:v>Agent architecture draft</x:v>
      </x:c>
      <x:c r="H105" s="20" t="n">
        <x:v>0.75</x:v>
      </x:c>
      <x:c r="I105" s="20" t="str">
        <x:v>High</x:v>
      </x:c>
      <x:c r="J105" s="20" t="str"/>
      <x:c r="K105" s="20" t="str"/>
      <x:c r="L105" s="20" t="str">
        <x:v>Not Started</x:v>
      </x:c>
      <x:c r="M105" s="20" t="n">
        <x:f>IF(L105="Completed",100,IF(L105="In Progress",50,0))</x:f>
        <x:v>0</x:v>
      </x:c>
      <x:c r="N105" s="20" t="str"/>
      <x:c r="O105" s="20" t="str"/>
      <x:c r="P105" s="20" t="str"/>
      <x:c r="Q105" s="20" t="str">
        <x:f>IF(OR(L105&lt;&gt;"Completed",P105=""),"",IF(P105&lt;4.5,"YES","NO"))</x:f>
      </x:c>
      <x:c r="R105" s="20" t="str"/>
    </x:row>
    <x:row r="106">
      <x:c r="A106" s="20" t="str">
        <x:v>T103</x:v>
      </x:c>
      <x:c r="B106" s="20" t="str">
        <x:v>2026-10-13</x:v>
      </x:c>
      <x:c r="C106" s="20" t="str">
        <x:v>W4</x:v>
      </x:c>
      <x:c r="D106" s="20" t="str">
        <x:v>4. Proof of Concept</x:v>
      </x:c>
      <x:c r="E106" s="20" t="str">
        <x:v>PoC</x:v>
      </x:c>
      <x:c r="F106" s="20" t="str">
        <x:v>Implement agent-confidence field consistently across agents</x:v>
      </x:c>
      <x:c r="G106" s="20" t="str">
        <x:v>Confidence-enabled outputs</x:v>
      </x:c>
      <x:c r="H106" s="20" t="n">
        <x:v>1</x:v>
      </x:c>
      <x:c r="I106" s="20" t="str">
        <x:v>High</x:v>
      </x:c>
      <x:c r="J106" s="20" t="str"/>
      <x:c r="K106" s="20" t="str"/>
      <x:c r="L106" s="20" t="str">
        <x:v>Not Started</x:v>
      </x:c>
      <x:c r="M106" s="20" t="n">
        <x:f>IF(L106="Completed",100,IF(L106="In Progress",50,0))</x:f>
        <x:v>0</x:v>
      </x:c>
      <x:c r="N106" s="20" t="str"/>
      <x:c r="O106" s="20" t="str"/>
      <x:c r="P106" s="20" t="str"/>
      <x:c r="Q106" s="20" t="str">
        <x:f>IF(OR(L106&lt;&gt;"Completed",P106=""),"",IF(P106&lt;4.5,"YES","NO"))</x:f>
      </x:c>
      <x:c r="R106" s="20" t="str"/>
    </x:row>
    <x:row r="107">
      <x:c r="A107" s="20" t="str">
        <x:v>T104</x:v>
      </x:c>
      <x:c r="B107" s="20" t="str">
        <x:v>2026-10-13</x:v>
      </x:c>
      <x:c r="C107" s="20" t="str">
        <x:v>W4</x:v>
      </x:c>
      <x:c r="D107" s="20" t="str">
        <x:v>2. Requirement Elicitation</x:v>
      </x:c>
      <x:c r="E107" s="20" t="str">
        <x:v>Requirement Elicitation</x:v>
      </x:c>
      <x:c r="F107" s="20" t="str">
        <x:v>Update traceability matrix with implemented PoC evidence</x:v>
      </x:c>
      <x:c r="G107" s="20" t="str">
        <x:v>Traceability matrix updated</x:v>
      </x:c>
      <x:c r="H107" s="20" t="n">
        <x:v>0.5</x:v>
      </x:c>
      <x:c r="I107" s="20" t="str">
        <x:v>High</x:v>
      </x:c>
      <x:c r="J107" s="20" t="str"/>
      <x:c r="K107" s="20" t="str"/>
      <x:c r="L107" s="20" t="str">
        <x:v>Not Started</x:v>
      </x:c>
      <x:c r="M107" s="20" t="n">
        <x:f>IF(L107="Completed",100,IF(L107="In Progress",50,0))</x:f>
        <x:v>0</x:v>
      </x:c>
      <x:c r="N107" s="20" t="str"/>
      <x:c r="O107" s="20" t="str"/>
      <x:c r="P107" s="20" t="str"/>
      <x:c r="Q107" s="20" t="str">
        <x:f>IF(OR(L107&lt;&gt;"Completed",P107=""),"",IF(P107&lt;4.5,"YES","NO"))</x:f>
      </x:c>
      <x:c r="R107" s="20" t="str"/>
    </x:row>
    <x:row r="108">
      <x:c r="A108" s="20" t="str">
        <x:v>T105</x:v>
      </x:c>
      <x:c r="B108" s="20" t="str">
        <x:v>2026-10-14</x:v>
      </x:c>
      <x:c r="C108" s="20" t="str">
        <x:v>W4</x:v>
      </x:c>
      <x:c r="D108" s="20" t="str">
        <x:v>3. PPRS Handout</x:v>
      </x:c>
      <x:c r="E108" s="20" t="str">
        <x:v>Methodology</x:v>
      </x:c>
      <x:c r="F108" s="20" t="str">
        <x:v>Define liquidity-state construction and thresholds/proxy method</x:v>
      </x:c>
      <x:c r="G108" s="20" t="str">
        <x:v>Liquidity-state methodology</x:v>
      </x:c>
      <x:c r="H108" s="20" t="n">
        <x:v>0.75</x:v>
      </x:c>
      <x:c r="I108" s="20" t="str">
        <x:v>High</x:v>
      </x:c>
      <x:c r="J108" s="20" t="str"/>
      <x:c r="K108" s="20" t="str"/>
      <x:c r="L108" s="20" t="str">
        <x:v>Not Started</x:v>
      </x:c>
      <x:c r="M108" s="20" t="n">
        <x:f>IF(L108="Completed",100,IF(L108="In Progress",50,0))</x:f>
        <x:v>0</x:v>
      </x:c>
      <x:c r="N108" s="20" t="str"/>
      <x:c r="O108" s="20" t="str"/>
      <x:c r="P108" s="20" t="str"/>
      <x:c r="Q108" s="20" t="str">
        <x:f>IF(OR(L108&lt;&gt;"Completed",P108=""),"",IF(P108&lt;4.5,"YES","NO"))</x:f>
      </x:c>
      <x:c r="R108" s="20" t="str"/>
    </x:row>
    <x:row r="109">
      <x:c r="A109" s="20" t="str">
        <x:v>T106</x:v>
      </x:c>
      <x:c r="B109" s="20" t="str">
        <x:v>2026-10-14</x:v>
      </x:c>
      <x:c r="C109" s="20" t="str">
        <x:v>W4</x:v>
      </x:c>
      <x:c r="D109" s="20" t="str">
        <x:v>3. PPRS Handout</x:v>
      </x:c>
      <x:c r="E109" s="20" t="str">
        <x:v>PPRS Handout</x:v>
      </x:c>
      <x:c r="F109" s="20" t="str">
        <x:v>Draft liquidity-friction methodology subsection</x:v>
      </x:c>
      <x:c r="G109" s="20" t="str">
        <x:v>Liquidity methodology draft</x:v>
      </x:c>
      <x:c r="H109" s="20" t="n">
        <x:v>0.75</x:v>
      </x:c>
      <x:c r="I109" s="20" t="str">
        <x:v>High</x:v>
      </x:c>
      <x:c r="J109" s="20" t="str"/>
      <x:c r="K109" s="20" t="str"/>
      <x:c r="L109" s="20" t="str">
        <x:v>Not Started</x:v>
      </x:c>
      <x:c r="M109" s="20" t="n">
        <x:f>IF(L109="Completed",100,IF(L109="In Progress",50,0))</x:f>
        <x:v>0</x:v>
      </x:c>
      <x:c r="N109" s="20" t="str"/>
      <x:c r="O109" s="20" t="str"/>
      <x:c r="P109" s="20" t="str"/>
      <x:c r="Q109" s="20" t="str">
        <x:f>IF(OR(L109&lt;&gt;"Completed",P109=""),"",IF(P109&lt;4.5,"YES","NO"))</x:f>
      </x:c>
      <x:c r="R109" s="20" t="str"/>
    </x:row>
    <x:row r="110">
      <x:c r="A110" s="20" t="str">
        <x:v>T107</x:v>
      </x:c>
      <x:c r="B110" s="20" t="str">
        <x:v>2026-10-14</x:v>
      </x:c>
      <x:c r="C110" s="20" t="str">
        <x:v>W4</x:v>
      </x:c>
      <x:c r="D110" s="20" t="str">
        <x:v>4. Proof of Concept</x:v>
      </x:c>
      <x:c r="E110" s="20" t="str">
        <x:v>PoC</x:v>
      </x:c>
      <x:c r="F110" s="20" t="str">
        <x:v>Implement friction-aware evaluation layer using available liquidity proxies</x:v>
      </x:c>
      <x:c r="G110" s="20" t="str">
        <x:v>Friction-aware evaluator</x:v>
      </x:c>
      <x:c r="H110" s="20" t="n">
        <x:v>1</x:v>
      </x:c>
      <x:c r="I110" s="20" t="str">
        <x:v>High</x:v>
      </x:c>
      <x:c r="J110" s="20" t="str"/>
      <x:c r="K110" s="20" t="str"/>
      <x:c r="L110" s="20" t="str">
        <x:v>Not Started</x:v>
      </x:c>
      <x:c r="M110" s="20" t="n">
        <x:f>IF(L110="Completed",100,IF(L110="In Progress",50,0))</x:f>
        <x:v>0</x:v>
      </x:c>
      <x:c r="N110" s="20" t="str"/>
      <x:c r="O110" s="20" t="str"/>
      <x:c r="P110" s="20" t="str"/>
      <x:c r="Q110" s="20" t="str">
        <x:f>IF(OR(L110&lt;&gt;"Completed",P110=""),"",IF(P110&lt;4.5,"YES","NO"))</x:f>
      </x:c>
      <x:c r="R110" s="20" t="str"/>
    </x:row>
    <x:row r="111">
      <x:c r="A111" s="20" t="str">
        <x:v>T108</x:v>
      </x:c>
      <x:c r="B111" s="20" t="str">
        <x:v>2026-10-14</x:v>
      </x:c>
      <x:c r="C111" s="20" t="str">
        <x:v>W4</x:v>
      </x:c>
      <x:c r="D111" s="20" t="str">
        <x:v>2. Requirement Elicitation</x:v>
      </x:c>
      <x:c r="E111" s="20" t="str">
        <x:v>Requirement Elicitation</x:v>
      </x:c>
      <x:c r="F111" s="20" t="str">
        <x:v>Verify liquidity-related requirements and acceptance criteria</x:v>
      </x:c>
      <x:c r="G111" s="20" t="str">
        <x:v>Liquidity requirement verification</x:v>
      </x:c>
      <x:c r="H111" s="20" t="n">
        <x:v>0.5</x:v>
      </x:c>
      <x:c r="I111" s="20" t="str">
        <x:v>High</x:v>
      </x:c>
      <x:c r="J111" s="20" t="str"/>
      <x:c r="K111" s="20" t="str"/>
      <x:c r="L111" s="20" t="str">
        <x:v>Not Started</x:v>
      </x:c>
      <x:c r="M111" s="20" t="n">
        <x:f>IF(L111="Completed",100,IF(L111="In Progress",50,0))</x:f>
        <x:v>0</x:v>
      </x:c>
      <x:c r="N111" s="20" t="str"/>
      <x:c r="O111" s="20" t="str"/>
      <x:c r="P111" s="20" t="str"/>
      <x:c r="Q111" s="20" t="str">
        <x:f>IF(OR(L111&lt;&gt;"Completed",P111=""),"",IF(P111&lt;4.5,"YES","NO"))</x:f>
      </x:c>
      <x:c r="R111" s="20" t="str"/>
    </x:row>
    <x:row r="112">
      <x:c r="A112" s="20" t="str">
        <x:v>T109</x:v>
      </x:c>
      <x:c r="B112" s="20" t="str">
        <x:v>2026-10-15</x:v>
      </x:c>
      <x:c r="C112" s="20" t="str">
        <x:v>W4</x:v>
      </x:c>
      <x:c r="D112" s="20" t="str">
        <x:v>3. PPRS Handout</x:v>
      </x:c>
      <x:c r="E112" s="20" t="str">
        <x:v>Methodology</x:v>
      </x:c>
      <x:c r="F112" s="20" t="str">
        <x:v>Define volatility/persistence-state construction</x:v>
      </x:c>
      <x:c r="G112" s="20" t="str">
        <x:v>Volatility-state methodology</x:v>
      </x:c>
      <x:c r="H112" s="20" t="n">
        <x:v>0.75</x:v>
      </x:c>
      <x:c r="I112" s="20" t="str">
        <x:v>High</x:v>
      </x:c>
      <x:c r="J112" s="20" t="str"/>
      <x:c r="K112" s="20" t="str"/>
      <x:c r="L112" s="20" t="str">
        <x:v>Not Started</x:v>
      </x:c>
      <x:c r="M112" s="20" t="n">
        <x:f>IF(L112="Completed",100,IF(L112="In Progress",50,0))</x:f>
        <x:v>0</x:v>
      </x:c>
      <x:c r="N112" s="20" t="str"/>
      <x:c r="O112" s="20" t="str"/>
      <x:c r="P112" s="20" t="str"/>
      <x:c r="Q112" s="20" t="str">
        <x:f>IF(OR(L112&lt;&gt;"Completed",P112=""),"",IF(P112&lt;4.5,"YES","NO"))</x:f>
      </x:c>
      <x:c r="R112" s="20" t="str"/>
    </x:row>
    <x:row r="113">
      <x:c r="A113" s="20" t="str">
        <x:v>T110</x:v>
      </x:c>
      <x:c r="B113" s="20" t="str">
        <x:v>2026-10-15</x:v>
      </x:c>
      <x:c r="C113" s="20" t="str">
        <x:v>W4</x:v>
      </x:c>
      <x:c r="D113" s="20" t="str">
        <x:v>3. PPRS Handout</x:v>
      </x:c>
      <x:c r="E113" s="20" t="str">
        <x:v>PPRS Handout</x:v>
      </x:c>
      <x:c r="F113" s="20" t="str">
        <x:v>Draft volatility/persistence methodology subsection</x:v>
      </x:c>
      <x:c r="G113" s="20" t="str">
        <x:v>Volatility methodology draft</x:v>
      </x:c>
      <x:c r="H113" s="20" t="n">
        <x:v>0.75</x:v>
      </x:c>
      <x:c r="I113" s="20" t="str">
        <x:v>High</x:v>
      </x:c>
      <x:c r="J113" s="20" t="str"/>
      <x:c r="K113" s="20" t="str"/>
      <x:c r="L113" s="20" t="str">
        <x:v>Not Started</x:v>
      </x:c>
      <x:c r="M113" s="20" t="n">
        <x:f>IF(L113="Completed",100,IF(L113="In Progress",50,0))</x:f>
        <x:v>0</x:v>
      </x:c>
      <x:c r="N113" s="20" t="str"/>
      <x:c r="O113" s="20" t="str"/>
      <x:c r="P113" s="20" t="str"/>
      <x:c r="Q113" s="20" t="str">
        <x:f>IF(OR(L113&lt;&gt;"Completed",P113=""),"",IF(P113&lt;4.5,"YES","NO"))</x:f>
      </x:c>
      <x:c r="R113" s="20" t="str"/>
    </x:row>
    <x:row r="114">
      <x:c r="A114" s="20" t="str">
        <x:v>T111</x:v>
      </x:c>
      <x:c r="B114" s="20" t="str">
        <x:v>2026-10-15</x:v>
      </x:c>
      <x:c r="C114" s="20" t="str">
        <x:v>W4</x:v>
      </x:c>
      <x:c r="D114" s="20" t="str">
        <x:v>4. Proof of Concept</x:v>
      </x:c>
      <x:c r="E114" s="20" t="str">
        <x:v>PoC</x:v>
      </x:c>
      <x:c r="F114" s="20" t="str">
        <x:v>Implement persistence or regime input in simplified form</x:v>
      </x:c>
      <x:c r="G114" s="20" t="str">
        <x:v>Persistence/regime feature</x:v>
      </x:c>
      <x:c r="H114" s="20" t="n">
        <x:v>1</x:v>
      </x:c>
      <x:c r="I114" s="20" t="str">
        <x:v>High</x:v>
      </x:c>
      <x:c r="J114" s="20" t="str"/>
      <x:c r="K114" s="20" t="str"/>
      <x:c r="L114" s="20" t="str">
        <x:v>Not Started</x:v>
      </x:c>
      <x:c r="M114" s="20" t="n">
        <x:f>IF(L114="Completed",100,IF(L114="In Progress",50,0))</x:f>
        <x:v>0</x:v>
      </x:c>
      <x:c r="N114" s="20" t="str"/>
      <x:c r="O114" s="20" t="str"/>
      <x:c r="P114" s="20" t="str"/>
      <x:c r="Q114" s="20" t="str">
        <x:f>IF(OR(L114&lt;&gt;"Completed",P114=""),"",IF(P114&lt;4.5,"YES","NO"))</x:f>
      </x:c>
      <x:c r="R114" s="20" t="str"/>
    </x:row>
    <x:row r="115">
      <x:c r="A115" s="20" t="str">
        <x:v>T112</x:v>
      </x:c>
      <x:c r="B115" s="20" t="str">
        <x:v>2026-10-15</x:v>
      </x:c>
      <x:c r="C115" s="20" t="str">
        <x:v>W4</x:v>
      </x:c>
      <x:c r="D115" s="20" t="str">
        <x:v>2. Requirement Elicitation</x:v>
      </x:c>
      <x:c r="E115" s="20" t="str">
        <x:v>Requirement Elicitation</x:v>
      </x:c>
      <x:c r="F115" s="20" t="str">
        <x:v>Verify volatility-related requirements and acceptance criteria</x:v>
      </x:c>
      <x:c r="G115" s="20" t="str">
        <x:v>Volatility requirement verification</x:v>
      </x:c>
      <x:c r="H115" s="20" t="n">
        <x:v>0.5</x:v>
      </x:c>
      <x:c r="I115" s="20" t="str">
        <x:v>High</x:v>
      </x:c>
      <x:c r="J115" s="20" t="str"/>
      <x:c r="K115" s="20" t="str"/>
      <x:c r="L115" s="20" t="str">
        <x:v>Not Started</x:v>
      </x:c>
      <x:c r="M115" s="20" t="n">
        <x:f>IF(L115="Completed",100,IF(L115="In Progress",50,0))</x:f>
        <x:v>0</x:v>
      </x:c>
      <x:c r="N115" s="20" t="str"/>
      <x:c r="O115" s="20" t="str"/>
      <x:c r="P115" s="20" t="str"/>
      <x:c r="Q115" s="20" t="str">
        <x:f>IF(OR(L115&lt;&gt;"Completed",P115=""),"",IF(P115&lt;4.5,"YES","NO"))</x:f>
      </x:c>
      <x:c r="R115" s="20" t="str"/>
    </x:row>
    <x:row r="116">
      <x:c r="A116" s="20" t="str">
        <x:v>T113</x:v>
      </x:c>
      <x:c r="B116" s="20" t="str">
        <x:v>2026-10-16</x:v>
      </x:c>
      <x:c r="C116" s="20" t="str">
        <x:v>W4</x:v>
      </x:c>
      <x:c r="D116" s="20" t="str">
        <x:v>3. PPRS Handout</x:v>
      </x:c>
      <x:c r="E116" s="20" t="str">
        <x:v>Methodology</x:v>
      </x:c>
      <x:c r="F116" s="20" t="str">
        <x:v>Freeze baseline definitions and comparison protocol</x:v>
      </x:c>
      <x:c r="G116" s="20" t="str">
        <x:v>Baseline protocol v1.0</x:v>
      </x:c>
      <x:c r="H116" s="20" t="n">
        <x:v>0.75</x:v>
      </x:c>
      <x:c r="I116" s="20" t="str">
        <x:v>High</x:v>
      </x:c>
      <x:c r="J116" s="20" t="str"/>
      <x:c r="K116" s="20" t="str"/>
      <x:c r="L116" s="20" t="str">
        <x:v>Not Started</x:v>
      </x:c>
      <x:c r="M116" s="20" t="n">
        <x:f>IF(L116="Completed",100,IF(L116="In Progress",50,0))</x:f>
        <x:v>0</x:v>
      </x:c>
      <x:c r="N116" s="20" t="str"/>
      <x:c r="O116" s="20" t="str"/>
      <x:c r="P116" s="20" t="str"/>
      <x:c r="Q116" s="20" t="str">
        <x:f>IF(OR(L116&lt;&gt;"Completed",P116=""),"",IF(P116&lt;4.5,"YES","NO"))</x:f>
      </x:c>
      <x:c r="R116" s="20" t="str"/>
    </x:row>
    <x:row r="117">
      <x:c r="A117" s="20" t="str">
        <x:v>T114</x:v>
      </x:c>
      <x:c r="B117" s="20" t="str">
        <x:v>2026-10-16</x:v>
      </x:c>
      <x:c r="C117" s="20" t="str">
        <x:v>W4</x:v>
      </x:c>
      <x:c r="D117" s="20" t="str">
        <x:v>3. PPRS Handout</x:v>
      </x:c>
      <x:c r="E117" s="20" t="str">
        <x:v>PPRS Handout</x:v>
      </x:c>
      <x:c r="F117" s="20" t="str">
        <x:v>Draft baseline and ablation subsection</x:v>
      </x:c>
      <x:c r="G117" s="20" t="str">
        <x:v>Baseline/ablation draft</x:v>
      </x:c>
      <x:c r="H117" s="20" t="n">
        <x:v>0.75</x:v>
      </x:c>
      <x:c r="I117" s="20" t="str">
        <x:v>High</x:v>
      </x:c>
      <x:c r="J117" s="20" t="str"/>
      <x:c r="K117" s="20" t="str"/>
      <x:c r="L117" s="20" t="str">
        <x:v>Not Started</x:v>
      </x:c>
      <x:c r="M117" s="20" t="n">
        <x:f>IF(L117="Completed",100,IF(L117="In Progress",50,0))</x:f>
        <x:v>0</x:v>
      </x:c>
      <x:c r="N117" s="20" t="str"/>
      <x:c r="O117" s="20" t="str"/>
      <x:c r="P117" s="20" t="str"/>
      <x:c r="Q117" s="20" t="str">
        <x:f>IF(OR(L117&lt;&gt;"Completed",P117=""),"",IF(P117&lt;4.5,"YES","NO"))</x:f>
      </x:c>
      <x:c r="R117" s="20" t="str"/>
    </x:row>
    <x:row r="118">
      <x:c r="A118" s="20" t="str">
        <x:v>T115</x:v>
      </x:c>
      <x:c r="B118" s="20" t="str">
        <x:v>2026-10-16</x:v>
      </x:c>
      <x:c r="C118" s="20" t="str">
        <x:v>W4</x:v>
      </x:c>
      <x:c r="D118" s="20" t="str">
        <x:v>4. Proof of Concept</x:v>
      </x:c>
      <x:c r="E118" s="20" t="str">
        <x:v>PoC</x:v>
      </x:c>
      <x:c r="F118" s="20" t="str">
        <x:v>Run static, adaptive and one simplified state-aware baseline on same sample</x:v>
      </x:c>
      <x:c r="G118" s="20" t="str">
        <x:v>Three-baseline result set</x:v>
      </x:c>
      <x:c r="H118" s="20" t="n">
        <x:v>1</x:v>
      </x:c>
      <x:c r="I118" s="20" t="str">
        <x:v>High</x:v>
      </x:c>
      <x:c r="J118" s="20" t="str"/>
      <x:c r="K118" s="20" t="str"/>
      <x:c r="L118" s="20" t="str">
        <x:v>Not Started</x:v>
      </x:c>
      <x:c r="M118" s="20" t="n">
        <x:f>IF(L118="Completed",100,IF(L118="In Progress",50,0))</x:f>
        <x:v>0</x:v>
      </x:c>
      <x:c r="N118" s="20" t="str"/>
      <x:c r="O118" s="20" t="str"/>
      <x:c r="P118" s="20" t="str"/>
      <x:c r="Q118" s="20" t="str">
        <x:f>IF(OR(L118&lt;&gt;"Completed",P118=""),"",IF(P118&lt;4.5,"YES","NO"))</x:f>
      </x:c>
      <x:c r="R118" s="20" t="str"/>
    </x:row>
    <x:row r="119">
      <x:c r="A119" s="20" t="str">
        <x:v>T116</x:v>
      </x:c>
      <x:c r="B119" s="20" t="str">
        <x:v>2026-10-16</x:v>
      </x:c>
      <x:c r="C119" s="20" t="str">
        <x:v>W4</x:v>
      </x:c>
      <x:c r="D119" s="20" t="str">
        <x:v>2. Requirement Elicitation</x:v>
      </x:c>
      <x:c r="E119" s="20" t="str">
        <x:v>Requirement Elicitation</x:v>
      </x:c>
      <x:c r="F119" s="20" t="str">
        <x:v>Verify evaluation-related requirements</x:v>
      </x:c>
      <x:c r="G119" s="20" t="str">
        <x:v>Evaluation requirement verification</x:v>
      </x:c>
      <x:c r="H119" s="20" t="n">
        <x:v>0.5</x:v>
      </x:c>
      <x:c r="I119" s="20" t="str">
        <x:v>High</x:v>
      </x:c>
      <x:c r="J119" s="20" t="str"/>
      <x:c r="K119" s="20" t="str"/>
      <x:c r="L119" s="20" t="str">
        <x:v>Not Started</x:v>
      </x:c>
      <x:c r="M119" s="20" t="n">
        <x:f>IF(L119="Completed",100,IF(L119="In Progress",50,0))</x:f>
        <x:v>0</x:v>
      </x:c>
      <x:c r="N119" s="20" t="str"/>
      <x:c r="O119" s="20" t="str"/>
      <x:c r="P119" s="20" t="str"/>
      <x:c r="Q119" s="20" t="str">
        <x:f>IF(OR(L119&lt;&gt;"Completed",P119=""),"",IF(P119&lt;4.5,"YES","NO"))</x:f>
      </x:c>
      <x:c r="R119" s="20" t="str"/>
    </x:row>
    <x:row r="120">
      <x:c r="A120" s="20" t="str">
        <x:v>T117</x:v>
      </x:c>
      <x:c r="B120" s="20" t="str">
        <x:v>2026-10-17</x:v>
      </x:c>
      <x:c r="C120" s="20" t="str">
        <x:v>W4</x:v>
      </x:c>
      <x:c r="D120" s="20" t="str">
        <x:v>3. PPRS Handout</x:v>
      </x:c>
      <x:c r="E120" s="20" t="str">
        <x:v>Methodology</x:v>
      </x:c>
      <x:c r="F120" s="20" t="str">
        <x:v>Freeze ablation list and experiment naming convention</x:v>
      </x:c>
      <x:c r="G120" s="20" t="str">
        <x:v>Ablation protocol v1.0</x:v>
      </x:c>
      <x:c r="H120" s="20" t="n">
        <x:v>0.75</x:v>
      </x:c>
      <x:c r="I120" s="20" t="str">
        <x:v>High</x:v>
      </x:c>
      <x:c r="J120" s="20" t="str"/>
      <x:c r="K120" s="20" t="str"/>
      <x:c r="L120" s="20" t="str">
        <x:v>Not Started</x:v>
      </x:c>
      <x:c r="M120" s="20" t="n">
        <x:f>IF(L120="Completed",100,IF(L120="In Progress",50,0))</x:f>
        <x:v>0</x:v>
      </x:c>
      <x:c r="N120" s="20" t="str"/>
      <x:c r="O120" s="20" t="str"/>
      <x:c r="P120" s="20" t="str"/>
      <x:c r="Q120" s="20" t="str">
        <x:f>IF(OR(L120&lt;&gt;"Completed",P120=""),"",IF(P120&lt;4.5,"YES","NO"))</x:f>
      </x:c>
      <x:c r="R120" s="20" t="str"/>
    </x:row>
    <x:row r="121">
      <x:c r="A121" s="20" t="str">
        <x:v>T118</x:v>
      </x:c>
      <x:c r="B121" s="20" t="str">
        <x:v>2026-10-17</x:v>
      </x:c>
      <x:c r="C121" s="20" t="str">
        <x:v>W4</x:v>
      </x:c>
      <x:c r="D121" s="20" t="str">
        <x:v>3. PPRS Handout</x:v>
      </x:c>
      <x:c r="E121" s="20" t="str">
        <x:v>PPRS Handout</x:v>
      </x:c>
      <x:c r="F121" s="20" t="str">
        <x:v>Draft Requirement Specification section</x:v>
      </x:c>
      <x:c r="G121" s="20" t="str">
        <x:v>Requirements section draft</x:v>
      </x:c>
      <x:c r="H121" s="20" t="n">
        <x:v>0.75</x:v>
      </x:c>
      <x:c r="I121" s="20" t="str">
        <x:v>High</x:v>
      </x:c>
      <x:c r="J121" s="20" t="str"/>
      <x:c r="K121" s="20" t="str"/>
      <x:c r="L121" s="20" t="str">
        <x:v>Not Started</x:v>
      </x:c>
      <x:c r="M121" s="20" t="n">
        <x:f>IF(L121="Completed",100,IF(L121="In Progress",50,0))</x:f>
        <x:v>0</x:v>
      </x:c>
      <x:c r="N121" s="20" t="str"/>
      <x:c r="O121" s="20" t="str"/>
      <x:c r="P121" s="20" t="str"/>
      <x:c r="Q121" s="20" t="str">
        <x:f>IF(OR(L121&lt;&gt;"Completed",P121=""),"",IF(P121&lt;4.5,"YES","NO"))</x:f>
      </x:c>
      <x:c r="R121" s="20" t="str"/>
    </x:row>
    <x:row r="122">
      <x:c r="A122" s="20" t="str">
        <x:v>T119</x:v>
      </x:c>
      <x:c r="B122" s="20" t="str">
        <x:v>2026-10-17</x:v>
      </x:c>
      <x:c r="C122" s="20" t="str">
        <x:v>W4</x:v>
      </x:c>
      <x:c r="D122" s="20" t="str">
        <x:v>4. Proof of Concept</x:v>
      </x:c>
      <x:c r="E122" s="20" t="str">
        <x:v>PoC</x:v>
      </x:c>
      <x:c r="F122" s="20" t="str">
        <x:v>Run ablation removing confidence conditioning</x:v>
      </x:c>
      <x:c r="G122" s="20" t="str">
        <x:v>Ablation result: -confidence</x:v>
      </x:c>
      <x:c r="H122" s="20" t="n">
        <x:v>1.25</x:v>
      </x:c>
      <x:c r="I122" s="20" t="str">
        <x:v>High</x:v>
      </x:c>
      <x:c r="J122" s="20" t="str"/>
      <x:c r="K122" s="20" t="str"/>
      <x:c r="L122" s="20" t="str">
        <x:v>Not Started</x:v>
      </x:c>
      <x:c r="M122" s="20" t="n">
        <x:f>IF(L122="Completed",100,IF(L122="In Progress",50,0))</x:f>
        <x:v>0</x:v>
      </x:c>
      <x:c r="N122" s="20" t="str"/>
      <x:c r="O122" s="20" t="str"/>
      <x:c r="P122" s="20" t="str"/>
      <x:c r="Q122" s="20" t="str">
        <x:f>IF(OR(L122&lt;&gt;"Completed",P122=""),"",IF(P122&lt;4.5,"YES","NO"))</x:f>
      </x:c>
      <x:c r="R122" s="20" t="str"/>
    </x:row>
    <x:row r="123">
      <x:c r="A123" s="20" t="str">
        <x:v>T120</x:v>
      </x:c>
      <x:c r="B123" s="20" t="str">
        <x:v>2026-10-17</x:v>
      </x:c>
      <x:c r="C123" s="20" t="str">
        <x:v>W4</x:v>
      </x:c>
      <x:c r="D123" s="20" t="str">
        <x:v>4. Proof of Concept</x:v>
      </x:c>
      <x:c r="E123" s="20" t="str">
        <x:v>PoC</x:v>
      </x:c>
      <x:c r="F123" s="20" t="str">
        <x:v>Run ablation removing volatility/persistence conditioning</x:v>
      </x:c>
      <x:c r="G123" s="20" t="str">
        <x:v>Ablation result: -volatility</x:v>
      </x:c>
      <x:c r="H123" s="20" t="n">
        <x:v>1.25</x:v>
      </x:c>
      <x:c r="I123" s="20" t="str">
        <x:v>High</x:v>
      </x:c>
      <x:c r="J123" s="20" t="str"/>
      <x:c r="K123" s="20" t="str"/>
      <x:c r="L123" s="20" t="str">
        <x:v>Not Started</x:v>
      </x:c>
      <x:c r="M123" s="20" t="n">
        <x:f>IF(L123="Completed",100,IF(L123="In Progress",50,0))</x:f>
        <x:v>0</x:v>
      </x:c>
      <x:c r="N123" s="20" t="str"/>
      <x:c r="O123" s="20" t="str"/>
      <x:c r="P123" s="20" t="str"/>
      <x:c r="Q123" s="20" t="str">
        <x:f>IF(OR(L123&lt;&gt;"Completed",P123=""),"",IF(P123&lt;4.5,"YES","NO"))</x:f>
      </x:c>
      <x:c r="R123" s="20" t="str"/>
    </x:row>
    <x:row r="124">
      <x:c r="A124" s="20" t="str">
        <x:v>T121</x:v>
      </x:c>
      <x:c r="B124" s="20" t="str">
        <x:v>2026-10-18</x:v>
      </x:c>
      <x:c r="C124" s="20" t="str">
        <x:v>W4</x:v>
      </x:c>
      <x:c r="D124" s="20" t="str">
        <x:v>3. PPRS Handout</x:v>
      </x:c>
      <x:c r="E124" s="20" t="str">
        <x:v>Methodology</x:v>
      </x:c>
      <x:c r="F124" s="20" t="str">
        <x:v>Complete Methodology v0.8</x:v>
      </x:c>
      <x:c r="G124" s="20" t="str">
        <x:v>Methodology v0.8</x:v>
      </x:c>
      <x:c r="H124" s="20" t="n">
        <x:v>1.5</x:v>
      </x:c>
      <x:c r="I124" s="20" t="str">
        <x:v>High</x:v>
      </x:c>
      <x:c r="J124" s="20" t="str"/>
      <x:c r="K124" s="20" t="str"/>
      <x:c r="L124" s="20" t="str">
        <x:v>Not Started</x:v>
      </x:c>
      <x:c r="M124" s="20" t="n">
        <x:f>IF(L124="Completed",100,IF(L124="In Progress",50,0))</x:f>
        <x:v>0</x:v>
      </x:c>
      <x:c r="N124" s="20" t="str"/>
      <x:c r="O124" s="20" t="str"/>
      <x:c r="P124" s="20" t="str"/>
      <x:c r="Q124" s="20" t="str">
        <x:f>IF(OR(L124&lt;&gt;"Completed",P124=""),"",IF(P124&lt;4.5,"YES","NO"))</x:f>
      </x:c>
      <x:c r="R124" s="20" t="str"/>
    </x:row>
    <x:row r="125">
      <x:c r="A125" s="20" t="str">
        <x:v>T122</x:v>
      </x:c>
      <x:c r="B125" s="20" t="str">
        <x:v>2026-10-18</x:v>
      </x:c>
      <x:c r="C125" s="20" t="str">
        <x:v>W4</x:v>
      </x:c>
      <x:c r="D125" s="20" t="str">
        <x:v>3. PPRS Handout</x:v>
      </x:c>
      <x:c r="E125" s="20" t="str">
        <x:v>PPRS Handout</x:v>
      </x:c>
      <x:c r="F125" s="20" t="str">
        <x:v>Create final implementation-pipeline diagram</x:v>
      </x:c>
      <x:c r="G125" s="20" t="str">
        <x:v>Implementation pipeline diagram</x:v>
      </x:c>
      <x:c r="H125" s="20" t="n">
        <x:v>1.5</x:v>
      </x:c>
      <x:c r="I125" s="20" t="str">
        <x:v>High</x:v>
      </x:c>
      <x:c r="J125" s="20" t="str"/>
      <x:c r="K125" s="20" t="str">
        <x:v>Pipeline frozen</x:v>
      </x:c>
      <x:c r="L125" s="20" t="str">
        <x:v>Not Started</x:v>
      </x:c>
      <x:c r="M125" s="20" t="n">
        <x:f>IF(L125="Completed",100,IF(L125="In Progress",50,0))</x:f>
        <x:v>0</x:v>
      </x:c>
      <x:c r="N125" s="20" t="str"/>
      <x:c r="O125" s="20" t="str"/>
      <x:c r="P125" s="20" t="str"/>
      <x:c r="Q125" s="20" t="str">
        <x:f>IF(OR(L125&lt;&gt;"Completed",P125=""),"",IF(P125&lt;4.5,"YES","NO"))</x:f>
      </x:c>
      <x:c r="R125" s="20" t="str"/>
    </x:row>
    <x:row r="126">
      <x:c r="A126" s="20" t="str">
        <x:v>T123</x:v>
      </x:c>
      <x:c r="B126" s="20" t="str">
        <x:v>2026-10-18</x:v>
      </x:c>
      <x:c r="C126" s="20" t="str">
        <x:v>W4</x:v>
      </x:c>
      <x:c r="D126" s="20" t="str">
        <x:v>3. PPRS Handout</x:v>
      </x:c>
      <x:c r="E126" s="20" t="str">
        <x:v>PPRS Handout</x:v>
      </x:c>
      <x:c r="F126" s="20" t="str">
        <x:v>Create final research-architecture diagram</x:v>
      </x:c>
      <x:c r="G126" s="20" t="str">
        <x:v>Architecture diagram</x:v>
      </x:c>
      <x:c r="H126" s="20" t="n">
        <x:v>1.5</x:v>
      </x:c>
      <x:c r="I126" s="20" t="str">
        <x:v>High</x:v>
      </x:c>
      <x:c r="J126" s="20" t="str"/>
      <x:c r="K126" s="20" t="str"/>
      <x:c r="L126" s="20" t="str">
        <x:v>Not Started</x:v>
      </x:c>
      <x:c r="M126" s="20" t="n">
        <x:f>IF(L126="Completed",100,IF(L126="In Progress",50,0))</x:f>
        <x:v>0</x:v>
      </x:c>
      <x:c r="N126" s="20" t="str"/>
      <x:c r="O126" s="20" t="str"/>
      <x:c r="P126" s="20" t="str"/>
      <x:c r="Q126" s="20" t="str">
        <x:f>IF(OR(L126&lt;&gt;"Completed",P126=""),"",IF(P126&lt;4.5,"YES","NO"))</x:f>
      </x:c>
      <x:c r="R126" s="20" t="str"/>
    </x:row>
    <x:row r="127">
      <x:c r="A127" s="20" t="str">
        <x:v>T124</x:v>
      </x:c>
      <x:c r="B127" s="20" t="str">
        <x:v>2026-10-18</x:v>
      </x:c>
      <x:c r="C127" s="20" t="str">
        <x:v>W4</x:v>
      </x:c>
      <x:c r="D127" s="20" t="str">
        <x:v>4. Proof of Concept</x:v>
      </x:c>
      <x:c r="E127" s="20" t="str">
        <x:v>PoC</x:v>
      </x:c>
      <x:c r="F127" s="20" t="str">
        <x:v>Document PoC inputs, outputs and preliminary results</x:v>
      </x:c>
      <x:c r="G127" s="20" t="str">
        <x:v>PoC evidence pack v0.8</x:v>
      </x:c>
      <x:c r="H127" s="20" t="n">
        <x:v>2</x:v>
      </x:c>
      <x:c r="I127" s="20" t="str">
        <x:v>High</x:v>
      </x:c>
      <x:c r="J127" s="20" t="str"/>
      <x:c r="K127" s="20" t="str"/>
      <x:c r="L127" s="20" t="str">
        <x:v>Not Started</x:v>
      </x:c>
      <x:c r="M127" s="20" t="n">
        <x:f>IF(L127="Completed",100,IF(L127="In Progress",50,0))</x:f>
        <x:v>0</x:v>
      </x:c>
      <x:c r="N127" s="20" t="str"/>
      <x:c r="O127" s="20" t="str"/>
      <x:c r="P127" s="20" t="str"/>
      <x:c r="Q127" s="20" t="str">
        <x:f>IF(OR(L127&lt;&gt;"Completed",P127=""),"",IF(P127&lt;4.5,"YES","NO"))</x:f>
      </x:c>
      <x:c r="R127" s="20" t="str"/>
    </x:row>
    <x:row r="128">
      <x:c r="A128" s="20" t="str">
        <x:v>T125</x:v>
      </x:c>
      <x:c r="B128" s="20" t="str">
        <x:v>2026-10-18</x:v>
      </x:c>
      <x:c r="C128" s="20" t="str">
        <x:v>W4</x:v>
      </x:c>
      <x:c r="D128" s="20" t="str">
        <x:v>Supporting / QA</x:v>
      </x:c>
      <x:c r="E128" s="20" t="str">
        <x:v>Project Control</x:v>
      </x:c>
      <x:c r="F128" s="20" t="str">
        <x:v>Run Week 4 audit; prohibit new scope after today</x:v>
      </x:c>
      <x:c r="G128" s="20" t="str">
        <x:v>Scope-lock audit</x:v>
      </x:c>
      <x:c r="H128" s="20" t="n">
        <x:v>1.5</x:v>
      </x:c>
      <x:c r="I128" s="20" t="str">
        <x:v>High</x:v>
      </x:c>
      <x:c r="J128" s="20" t="str"/>
      <x:c r="K128" s="20" t="str">
        <x:v>No new scope</x:v>
      </x:c>
      <x:c r="L128" s="20" t="str">
        <x:v>Not Started</x:v>
      </x:c>
      <x:c r="M128" s="20" t="n">
        <x:f>IF(L128="Completed",100,IF(L128="In Progress",50,0))</x:f>
        <x:v>0</x:v>
      </x:c>
      <x:c r="N128" s="20" t="str"/>
      <x:c r="O128" s="20" t="str"/>
      <x:c r="P128" s="20" t="str"/>
      <x:c r="Q128" s="20" t="str">
        <x:f>IF(OR(L128&lt;&gt;"Completed",P128=""),"",IF(P128&lt;4.5,"YES","NO"))</x:f>
      </x:c>
      <x:c r="R128" s="20" t="str"/>
    </x:row>
    <x:row r="129">
      <x:c r="A129" s="20" t="str">
        <x:v>T126</x:v>
      </x:c>
      <x:c r="B129" s="20" t="str">
        <x:v>2026-10-19</x:v>
      </x:c>
      <x:c r="C129" s="20" t="str">
        <x:v>W5</x:v>
      </x:c>
      <x:c r="D129" s="20" t="str">
        <x:v>1. Literature Review</x:v>
      </x:c>
      <x:c r="E129" s="20" t="str">
        <x:v>Literature Review</x:v>
      </x:c>
      <x:c r="F129" s="20" t="str">
        <x:v>Perform citation completeness check on Introduction and Problem Background</x:v>
      </x:c>
      <x:c r="G129" s="20" t="str">
        <x:v>Citation check</x:v>
      </x:c>
      <x:c r="H129" s="20" t="n">
        <x:v>0.5</x:v>
      </x:c>
      <x:c r="I129" s="20" t="str">
        <x:v>High</x:v>
      </x:c>
      <x:c r="J129" s="20" t="str"/>
      <x:c r="K129" s="20" t="str"/>
      <x:c r="L129" s="20" t="str">
        <x:v>Not Started</x:v>
      </x:c>
      <x:c r="M129" s="20" t="n">
        <x:f>IF(L129="Completed",100,IF(L129="In Progress",50,0))</x:f>
        <x:v>0</x:v>
      </x:c>
      <x:c r="N129" s="20" t="str"/>
      <x:c r="O129" s="20" t="str"/>
      <x:c r="P129" s="20" t="str"/>
      <x:c r="Q129" s="20" t="str">
        <x:f>IF(OR(L129&lt;&gt;"Completed",P129=""),"",IF(P129&lt;4.5,"YES","NO"))</x:f>
      </x:c>
      <x:c r="R129" s="20" t="str"/>
    </x:row>
    <x:row r="130">
      <x:c r="A130" s="20" t="str">
        <x:v>T127</x:v>
      </x:c>
      <x:c r="B130" s="20" t="str">
        <x:v>2026-10-19</x:v>
      </x:c>
      <x:c r="C130" s="20" t="str">
        <x:v>W5</x:v>
      </x:c>
      <x:c r="D130" s="20" t="str">
        <x:v>3. PPRS Handout</x:v>
      </x:c>
      <x:c r="E130" s="20" t="str">
        <x:v>PPRS Handout</x:v>
      </x:c>
      <x:c r="F130" s="20" t="str">
        <x:v>Write final Introduction section</x:v>
      </x:c>
      <x:c r="G130" s="20" t="str">
        <x:v>Introduction v1.0</x:v>
      </x:c>
      <x:c r="H130" s="20" t="n">
        <x:v>1</x:v>
      </x:c>
      <x:c r="I130" s="20" t="str">
        <x:v>High</x:v>
      </x:c>
      <x:c r="J130" s="20" t="str"/>
      <x:c r="K130" s="20" t="str"/>
      <x:c r="L130" s="20" t="str">
        <x:v>Not Started</x:v>
      </x:c>
      <x:c r="M130" s="20" t="n">
        <x:f>IF(L130="Completed",100,IF(L130="In Progress",50,0))</x:f>
        <x:v>0</x:v>
      </x:c>
      <x:c r="N130" s="20" t="str"/>
      <x:c r="O130" s="20" t="str"/>
      <x:c r="P130" s="20" t="str"/>
      <x:c r="Q130" s="20" t="str">
        <x:f>IF(OR(L130&lt;&gt;"Completed",P130=""),"",IF(P130&lt;4.5,"YES","NO"))</x:f>
      </x:c>
      <x:c r="R130" s="20" t="str"/>
    </x:row>
    <x:row r="131">
      <x:c r="A131" s="20" t="str">
        <x:v>T128</x:v>
      </x:c>
      <x:c r="B131" s="20" t="str">
        <x:v>2026-10-19</x:v>
      </x:c>
      <x:c r="C131" s="20" t="str">
        <x:v>W5</x:v>
      </x:c>
      <x:c r="D131" s="20" t="str">
        <x:v>3. PPRS Handout</x:v>
      </x:c>
      <x:c r="E131" s="20" t="str">
        <x:v>PPRS Handout</x:v>
      </x:c>
      <x:c r="F131" s="20" t="str">
        <x:v>Write final Problem Background section</x:v>
      </x:c>
      <x:c r="G131" s="20" t="str">
        <x:v>Problem Background v1.0</x:v>
      </x:c>
      <x:c r="H131" s="20" t="n">
        <x:v>1</x:v>
      </x:c>
      <x:c r="I131" s="20" t="str">
        <x:v>High</x:v>
      </x:c>
      <x:c r="J131" s="20" t="str"/>
      <x:c r="K131" s="20" t="str"/>
      <x:c r="L131" s="20" t="str">
        <x:v>Not Started</x:v>
      </x:c>
      <x:c r="M131" s="20" t="n">
        <x:f>IF(L131="Completed",100,IF(L131="In Progress",50,0))</x:f>
        <x:v>0</x:v>
      </x:c>
      <x:c r="N131" s="20" t="str"/>
      <x:c r="O131" s="20" t="str"/>
      <x:c r="P131" s="20" t="str"/>
      <x:c r="Q131" s="20" t="str">
        <x:f>IF(OR(L131&lt;&gt;"Completed",P131=""),"",IF(P131&lt;4.5,"YES","NO"))</x:f>
      </x:c>
      <x:c r="R131" s="20" t="str"/>
    </x:row>
    <x:row r="132">
      <x:c r="A132" s="20" t="str">
        <x:v>T129</x:v>
      </x:c>
      <x:c r="B132" s="20" t="str">
        <x:v>2026-10-19</x:v>
      </x:c>
      <x:c r="C132" s="20" t="str">
        <x:v>W5</x:v>
      </x:c>
      <x:c r="D132" s="20" t="str">
        <x:v>4. Proof of Concept</x:v>
      </x:c>
      <x:c r="E132" s="20" t="str">
        <x:v>PoC</x:v>
      </x:c>
      <x:c r="F132" s="20" t="str">
        <x:v>Fix any blocking PoC defect discovered during Week 4 audit</x:v>
      </x:c>
      <x:c r="G132" s="20" t="str">
        <x:v>PoC defect fix</x:v>
      </x:c>
      <x:c r="H132" s="20" t="n">
        <x:v>0.5</x:v>
      </x:c>
      <x:c r="I132" s="20" t="str">
        <x:v>High</x:v>
      </x:c>
      <x:c r="J132" s="20" t="str"/>
      <x:c r="K132" s="20" t="str"/>
      <x:c r="L132" s="20" t="str">
        <x:v>Not Started</x:v>
      </x:c>
      <x:c r="M132" s="20" t="n">
        <x:f>IF(L132="Completed",100,IF(L132="In Progress",50,0))</x:f>
        <x:v>0</x:v>
      </x:c>
      <x:c r="N132" s="20" t="str"/>
      <x:c r="O132" s="20" t="str"/>
      <x:c r="P132" s="20" t="str"/>
      <x:c r="Q132" s="20" t="str">
        <x:f>IF(OR(L132&lt;&gt;"Completed",P132=""),"",IF(P132&lt;4.5,"YES","NO"))</x:f>
      </x:c>
      <x:c r="R132" s="20" t="str"/>
    </x:row>
    <x:row r="133">
      <x:c r="A133" s="20" t="str">
        <x:v>T130</x:v>
      </x:c>
      <x:c r="B133" s="20" t="str">
        <x:v>2026-10-20</x:v>
      </x:c>
      <x:c r="C133" s="20" t="str">
        <x:v>W5</x:v>
      </x:c>
      <x:c r="D133" s="20" t="str">
        <x:v>1. Literature Review</x:v>
      </x:c>
      <x:c r="E133" s="20" t="str">
        <x:v>Literature Review</x:v>
      </x:c>
      <x:c r="F133" s="20" t="str">
        <x:v>Verify every major gap claim has at least two supporting sources where possible</x:v>
      </x:c>
      <x:c r="G133" s="20" t="str">
        <x:v>Gap citation verification</x:v>
      </x:c>
      <x:c r="H133" s="20" t="n">
        <x:v>0.75</x:v>
      </x:c>
      <x:c r="I133" s="20" t="str">
        <x:v>High</x:v>
      </x:c>
      <x:c r="J133" s="20" t="str"/>
      <x:c r="K133" s="20" t="str"/>
      <x:c r="L133" s="20" t="str">
        <x:v>Not Started</x:v>
      </x:c>
      <x:c r="M133" s="20" t="n">
        <x:f>IF(L133="Completed",100,IF(L133="In Progress",50,0))</x:f>
        <x:v>0</x:v>
      </x:c>
      <x:c r="N133" s="20" t="str"/>
      <x:c r="O133" s="20" t="str"/>
      <x:c r="P133" s="20" t="str"/>
      <x:c r="Q133" s="20" t="str">
        <x:f>IF(OR(L133&lt;&gt;"Completed",P133=""),"",IF(P133&lt;4.5,"YES","NO"))</x:f>
      </x:c>
      <x:c r="R133" s="20" t="str"/>
    </x:row>
    <x:row r="134">
      <x:c r="A134" s="20" t="str">
        <x:v>T131</x:v>
      </x:c>
      <x:c r="B134" s="20" t="str">
        <x:v>2026-10-20</x:v>
      </x:c>
      <x:c r="C134" s="20" t="str">
        <x:v>W5</x:v>
      </x:c>
      <x:c r="D134" s="20" t="str">
        <x:v>3. PPRS Handout</x:v>
      </x:c>
      <x:c r="E134" s="20" t="str">
        <x:v>PPRS Handout</x:v>
      </x:c>
      <x:c r="F134" s="20" t="str">
        <x:v>Finalise Literature Review section</x:v>
      </x:c>
      <x:c r="G134" s="20" t="str">
        <x:v>Literature Review v1.0</x:v>
      </x:c>
      <x:c r="H134" s="20" t="n">
        <x:v>1.5</x:v>
      </x:c>
      <x:c r="I134" s="20" t="str">
        <x:v>High</x:v>
      </x:c>
      <x:c r="J134" s="20" t="str"/>
      <x:c r="K134" s="20" t="str"/>
      <x:c r="L134" s="20" t="str">
        <x:v>Not Started</x:v>
      </x:c>
      <x:c r="M134" s="20" t="n">
        <x:f>IF(L134="Completed",100,IF(L134="In Progress",50,0))</x:f>
        <x:v>0</x:v>
      </x:c>
      <x:c r="N134" s="20" t="str"/>
      <x:c r="O134" s="20" t="str"/>
      <x:c r="P134" s="20" t="str"/>
      <x:c r="Q134" s="20" t="str">
        <x:f>IF(OR(L134&lt;&gt;"Completed",P134=""),"",IF(P134&lt;4.5,"YES","NO"))</x:f>
      </x:c>
      <x:c r="R134" s="20" t="str"/>
    </x:row>
    <x:row r="135">
      <x:c r="A135" s="20" t="str">
        <x:v>T132</x:v>
      </x:c>
      <x:c r="B135" s="20" t="str">
        <x:v>2026-10-20</x:v>
      </x:c>
      <x:c r="C135" s="20" t="str">
        <x:v>W5</x:v>
      </x:c>
      <x:c r="D135" s="20" t="str">
        <x:v>4. Proof of Concept</x:v>
      </x:c>
      <x:c r="E135" s="20" t="str">
        <x:v>PoC</x:v>
      </x:c>
      <x:c r="F135" s="20" t="str">
        <x:v>Prepare one clean reproducible PoC run script/notebook</x:v>
      </x:c>
      <x:c r="G135" s="20" t="str">
        <x:v>Reproducible PoC run</x:v>
      </x:c>
      <x:c r="H135" s="20" t="n">
        <x:v>0.75</x:v>
      </x:c>
      <x:c r="I135" s="20" t="str">
        <x:v>High</x:v>
      </x:c>
      <x:c r="J135" s="20" t="str"/>
      <x:c r="K135" s="20" t="str"/>
      <x:c r="L135" s="20" t="str">
        <x:v>Not Started</x:v>
      </x:c>
      <x:c r="M135" s="20" t="n">
        <x:f>IF(L135="Completed",100,IF(L135="In Progress",50,0))</x:f>
        <x:v>0</x:v>
      </x:c>
      <x:c r="N135" s="20" t="str"/>
      <x:c r="O135" s="20" t="str"/>
      <x:c r="P135" s="20" t="str"/>
      <x:c r="Q135" s="20" t="str">
        <x:f>IF(OR(L135&lt;&gt;"Completed",P135=""),"",IF(P135&lt;4.5,"YES","NO"))</x:f>
      </x:c>
      <x:c r="R135" s="20" t="str"/>
    </x:row>
    <x:row r="136">
      <x:c r="A136" s="20" t="str">
        <x:v>T133</x:v>
      </x:c>
      <x:c r="B136" s="20" t="str">
        <x:v>2026-10-21</x:v>
      </x:c>
      <x:c r="C136" s="20" t="str">
        <x:v>W5</x:v>
      </x:c>
      <x:c r="D136" s="20" t="str">
        <x:v>3. PPRS Handout</x:v>
      </x:c>
      <x:c r="E136" s="20" t="str">
        <x:v>Methodology</x:v>
      </x:c>
      <x:c r="F136" s="20" t="str">
        <x:v>Check one-to-one mapping between RQs and experiments</x:v>
      </x:c>
      <x:c r="G136" s="20" t="str">
        <x:v>RQ-experiment mapping</x:v>
      </x:c>
      <x:c r="H136" s="20" t="n">
        <x:v>0.5</x:v>
      </x:c>
      <x:c r="I136" s="20" t="str">
        <x:v>High</x:v>
      </x:c>
      <x:c r="J136" s="20" t="str"/>
      <x:c r="K136" s="20" t="str"/>
      <x:c r="L136" s="20" t="str">
        <x:v>Not Started</x:v>
      </x:c>
      <x:c r="M136" s="20" t="n">
        <x:f>IF(L136="Completed",100,IF(L136="In Progress",50,0))</x:f>
        <x:v>0</x:v>
      </x:c>
      <x:c r="N136" s="20" t="str"/>
      <x:c r="O136" s="20" t="str"/>
      <x:c r="P136" s="20" t="str"/>
      <x:c r="Q136" s="20" t="str">
        <x:f>IF(OR(L136&lt;&gt;"Completed",P136=""),"",IF(P136&lt;4.5,"YES","NO"))</x:f>
      </x:c>
      <x:c r="R136" s="20" t="str"/>
    </x:row>
    <x:row r="137">
      <x:c r="A137" s="20" t="str">
        <x:v>T134</x:v>
      </x:c>
      <x:c r="B137" s="20" t="str">
        <x:v>2026-10-21</x:v>
      </x:c>
      <x:c r="C137" s="20" t="str">
        <x:v>W5</x:v>
      </x:c>
      <x:c r="D137" s="20" t="str">
        <x:v>3. PPRS Handout</x:v>
      </x:c>
      <x:c r="E137" s="20" t="str">
        <x:v>PPRS Handout</x:v>
      </x:c>
      <x:c r="F137" s="20" t="str">
        <x:v>Finalise Aim, RQs and Objectives</x:v>
      </x:c>
      <x:c r="G137" s="20" t="str">
        <x:v>Aim/RQs/Objectives v1.0</x:v>
      </x:c>
      <x:c r="H137" s="20" t="n">
        <x:v>0.75</x:v>
      </x:c>
      <x:c r="I137" s="20" t="str">
        <x:v>High</x:v>
      </x:c>
      <x:c r="J137" s="20" t="str"/>
      <x:c r="K137" s="20" t="str"/>
      <x:c r="L137" s="20" t="str">
        <x:v>Not Started</x:v>
      </x:c>
      <x:c r="M137" s="20" t="n">
        <x:f>IF(L137="Completed",100,IF(L137="In Progress",50,0))</x:f>
        <x:v>0</x:v>
      </x:c>
      <x:c r="N137" s="20" t="str"/>
      <x:c r="O137" s="20" t="str"/>
      <x:c r="P137" s="20" t="str"/>
      <x:c r="Q137" s="20" t="str">
        <x:f>IF(OR(L137&lt;&gt;"Completed",P137=""),"",IF(P137&lt;4.5,"YES","NO"))</x:f>
      </x:c>
      <x:c r="R137" s="20" t="str"/>
    </x:row>
    <x:row r="138">
      <x:c r="A138" s="20" t="str">
        <x:v>T135</x:v>
      </x:c>
      <x:c r="B138" s="20" t="str">
        <x:v>2026-10-21</x:v>
      </x:c>
      <x:c r="C138" s="20" t="str">
        <x:v>W5</x:v>
      </x:c>
      <x:c r="D138" s="20" t="str">
        <x:v>3. PPRS Handout</x:v>
      </x:c>
      <x:c r="E138" s="20" t="str">
        <x:v>PPRS Handout</x:v>
      </x:c>
      <x:c r="F138" s="20" t="str">
        <x:v>Finalise Research Gap and Technical Contribution section</x:v>
      </x:c>
      <x:c r="G138" s="20" t="str">
        <x:v>Gap/Contribution v1.0</x:v>
      </x:c>
      <x:c r="H138" s="20" t="n">
        <x:v>1</x:v>
      </x:c>
      <x:c r="I138" s="20" t="str">
        <x:v>High</x:v>
      </x:c>
      <x:c r="J138" s="20" t="str"/>
      <x:c r="K138" s="20" t="str"/>
      <x:c r="L138" s="20" t="str">
        <x:v>Not Started</x:v>
      </x:c>
      <x:c r="M138" s="20" t="n">
        <x:f>IF(L138="Completed",100,IF(L138="In Progress",50,0))</x:f>
        <x:v>0</x:v>
      </x:c>
      <x:c r="N138" s="20" t="str"/>
      <x:c r="O138" s="20" t="str"/>
      <x:c r="P138" s="20" t="str"/>
      <x:c r="Q138" s="20" t="str">
        <x:f>IF(OR(L138&lt;&gt;"Completed",P138=""),"",IF(P138&lt;4.5,"YES","NO"))</x:f>
      </x:c>
      <x:c r="R138" s="20" t="str"/>
    </x:row>
    <x:row r="139">
      <x:c r="A139" s="20" t="str">
        <x:v>T136</x:v>
      </x:c>
      <x:c r="B139" s="20" t="str">
        <x:v>2026-10-21</x:v>
      </x:c>
      <x:c r="C139" s="20" t="str">
        <x:v>W5</x:v>
      </x:c>
      <x:c r="D139" s="20" t="str">
        <x:v>4. Proof of Concept</x:v>
      </x:c>
      <x:c r="E139" s="20" t="str">
        <x:v>PoC</x:v>
      </x:c>
      <x:c r="F139" s="20" t="str">
        <x:v>Capture final PoC outputs/screenshots/tables for handout</x:v>
      </x:c>
      <x:c r="G139" s="20" t="str">
        <x:v>PoC evidence images/tables</x:v>
      </x:c>
      <x:c r="H139" s="20" t="n">
        <x:v>0.75</x:v>
      </x:c>
      <x:c r="I139" s="20" t="str">
        <x:v>High</x:v>
      </x:c>
      <x:c r="J139" s="20" t="str"/>
      <x:c r="K139" s="20" t="str"/>
      <x:c r="L139" s="20" t="str">
        <x:v>Not Started</x:v>
      </x:c>
      <x:c r="M139" s="20" t="n">
        <x:f>IF(L139="Completed",100,IF(L139="In Progress",50,0))</x:f>
        <x:v>0</x:v>
      </x:c>
      <x:c r="N139" s="20" t="str"/>
      <x:c r="O139" s="20" t="str"/>
      <x:c r="P139" s="20" t="str"/>
      <x:c r="Q139" s="20" t="str">
        <x:f>IF(OR(L139&lt;&gt;"Completed",P139=""),"",IF(P139&lt;4.5,"YES","NO"))</x:f>
      </x:c>
      <x:c r="R139" s="20" t="str"/>
    </x:row>
    <x:row r="140">
      <x:c r="A140" s="20" t="str">
        <x:v>T137</x:v>
      </x:c>
      <x:c r="B140" s="20" t="str">
        <x:v>2026-10-22</x:v>
      </x:c>
      <x:c r="C140" s="20" t="str">
        <x:v>W5</x:v>
      </x:c>
      <x:c r="D140" s="20" t="str">
        <x:v>3. PPRS Handout</x:v>
      </x:c>
      <x:c r="E140" s="20" t="str">
        <x:v>PPRS Handout</x:v>
      </x:c>
      <x:c r="F140" s="20" t="str">
        <x:v>Finalise Dataset Strategy subsection</x:v>
      </x:c>
      <x:c r="G140" s="20" t="str">
        <x:v>Dataset Strategy v1.0</x:v>
      </x:c>
      <x:c r="H140" s="20" t="n">
        <x:v>0.5</x:v>
      </x:c>
      <x:c r="I140" s="20" t="str">
        <x:v>High</x:v>
      </x:c>
      <x:c r="J140" s="20" t="str"/>
      <x:c r="K140" s="20" t="str"/>
      <x:c r="L140" s="20" t="str">
        <x:v>Not Started</x:v>
      </x:c>
      <x:c r="M140" s="20" t="n">
        <x:f>IF(L140="Completed",100,IF(L140="In Progress",50,0))</x:f>
        <x:v>0</x:v>
      </x:c>
      <x:c r="N140" s="20" t="str"/>
      <x:c r="O140" s="20" t="str"/>
      <x:c r="P140" s="20" t="str"/>
      <x:c r="Q140" s="20" t="str">
        <x:f>IF(OR(L140&lt;&gt;"Completed",P140=""),"",IF(P140&lt;4.5,"YES","NO"))</x:f>
      </x:c>
      <x:c r="R140" s="20" t="str"/>
    </x:row>
    <x:row r="141">
      <x:c r="A141" s="20" t="str">
        <x:v>T138</x:v>
      </x:c>
      <x:c r="B141" s="20" t="str">
        <x:v>2026-10-22</x:v>
      </x:c>
      <x:c r="C141" s="20" t="str">
        <x:v>W5</x:v>
      </x:c>
      <x:c r="D141" s="20" t="str">
        <x:v>3. PPRS Handout</x:v>
      </x:c>
      <x:c r="E141" s="20" t="str">
        <x:v>PPRS Handout</x:v>
      </x:c>
      <x:c r="F141" s="20" t="str">
        <x:v>Finalise Methodology section</x:v>
      </x:c>
      <x:c r="G141" s="20" t="str">
        <x:v>Methodology v1.0</x:v>
      </x:c>
      <x:c r="H141" s="20" t="n">
        <x:v>1.25</x:v>
      </x:c>
      <x:c r="I141" s="20" t="str">
        <x:v>High</x:v>
      </x:c>
      <x:c r="J141" s="20" t="str"/>
      <x:c r="K141" s="20" t="str"/>
      <x:c r="L141" s="20" t="str">
        <x:v>Not Started</x:v>
      </x:c>
      <x:c r="M141" s="20" t="n">
        <x:f>IF(L141="Completed",100,IF(L141="In Progress",50,0))</x:f>
        <x:v>0</x:v>
      </x:c>
      <x:c r="N141" s="20" t="str"/>
      <x:c r="O141" s="20" t="str"/>
      <x:c r="P141" s="20" t="str"/>
      <x:c r="Q141" s="20" t="str">
        <x:f>IF(OR(L141&lt;&gt;"Completed",P141=""),"",IF(P141&lt;4.5,"YES","NO"))</x:f>
      </x:c>
      <x:c r="R141" s="20" t="str"/>
    </x:row>
    <x:row r="142">
      <x:c r="A142" s="20" t="str">
        <x:v>T139</x:v>
      </x:c>
      <x:c r="B142" s="20" t="str">
        <x:v>2026-10-22</x:v>
      </x:c>
      <x:c r="C142" s="20" t="str">
        <x:v>W5</x:v>
      </x:c>
      <x:c r="D142" s="20" t="str">
        <x:v>4. Proof of Concept</x:v>
      </x:c>
      <x:c r="E142" s="20" t="str">
        <x:v>PoC</x:v>
      </x:c>
      <x:c r="F142" s="20" t="str">
        <x:v>Freeze PoC version used for PPRS evidence</x:v>
      </x:c>
      <x:c r="G142" s="20" t="str">
        <x:v>PoC v1.0 tag</x:v>
      </x:c>
      <x:c r="H142" s="20" t="n">
        <x:v>0.5</x:v>
      </x:c>
      <x:c r="I142" s="20" t="str">
        <x:v>High</x:v>
      </x:c>
      <x:c r="J142" s="20" t="str"/>
      <x:c r="K142" s="20" t="str">
        <x:v>PoC frozen</x:v>
      </x:c>
      <x:c r="L142" s="20" t="str">
        <x:v>Not Started</x:v>
      </x:c>
      <x:c r="M142" s="20" t="n">
        <x:f>IF(L142="Completed",100,IF(L142="In Progress",50,0))</x:f>
        <x:v>0</x:v>
      </x:c>
      <x:c r="N142" s="20" t="str"/>
      <x:c r="O142" s="20" t="str"/>
      <x:c r="P142" s="20" t="str"/>
      <x:c r="Q142" s="20" t="str">
        <x:f>IF(OR(L142&lt;&gt;"Completed",P142=""),"",IF(P142&lt;4.5,"YES","NO"))</x:f>
      </x:c>
      <x:c r="R142" s="20" t="str"/>
    </x:row>
    <x:row r="143">
      <x:c r="A143" s="20" t="str">
        <x:v>T140</x:v>
      </x:c>
      <x:c r="B143" s="20" t="str">
        <x:v>2026-10-22</x:v>
      </x:c>
      <x:c r="C143" s="20" t="str">
        <x:v>W5</x:v>
      </x:c>
      <x:c r="D143" s="20" t="str">
        <x:v>2. Requirement Elicitation</x:v>
      </x:c>
      <x:c r="E143" s="20" t="str">
        <x:v>Requirement Elicitation</x:v>
      </x:c>
      <x:c r="F143" s="20" t="str">
        <x:v>Freeze Requirement Specification v1.1 with traceability</x:v>
      </x:c>
      <x:c r="G143" s="20" t="str">
        <x:v>Requirements v1.1</x:v>
      </x:c>
      <x:c r="H143" s="20" t="n">
        <x:v>0.75</x:v>
      </x:c>
      <x:c r="I143" s="20" t="str">
        <x:v>High</x:v>
      </x:c>
      <x:c r="J143" s="20" t="str"/>
      <x:c r="K143" s="20" t="str"/>
      <x:c r="L143" s="20" t="str">
        <x:v>Not Started</x:v>
      </x:c>
      <x:c r="M143" s="20" t="n">
        <x:f>IF(L143="Completed",100,IF(L143="In Progress",50,0))</x:f>
        <x:v>0</x:v>
      </x:c>
      <x:c r="N143" s="20" t="str"/>
      <x:c r="O143" s="20" t="str"/>
      <x:c r="P143" s="20" t="str"/>
      <x:c r="Q143" s="20" t="str">
        <x:f>IF(OR(L143&lt;&gt;"Completed",P143=""),"",IF(P143&lt;4.5,"YES","NO"))</x:f>
      </x:c>
      <x:c r="R143" s="20" t="str"/>
    </x:row>
    <x:row r="144">
      <x:c r="A144" s="20" t="str">
        <x:v>T141</x:v>
      </x:c>
      <x:c r="B144" s="20" t="str">
        <x:v>2026-10-23</x:v>
      </x:c>
      <x:c r="C144" s="20" t="str">
        <x:v>W5</x:v>
      </x:c>
      <x:c r="D144" s="20" t="str">
        <x:v>3. PPRS Handout</x:v>
      </x:c>
      <x:c r="E144" s="20" t="str">
        <x:v>PPRS Handout</x:v>
      </x:c>
      <x:c r="F144" s="20" t="str">
        <x:v>Draft PoC feasibility/results subsection</x:v>
      </x:c>
      <x:c r="G144" s="20" t="str">
        <x:v>PoC subsection draft</x:v>
      </x:c>
      <x:c r="H144" s="20" t="n">
        <x:v>0.75</x:v>
      </x:c>
      <x:c r="I144" s="20" t="str">
        <x:v>High</x:v>
      </x:c>
      <x:c r="J144" s="20" t="str"/>
      <x:c r="K144" s="20" t="str"/>
      <x:c r="L144" s="20" t="str">
        <x:v>Not Started</x:v>
      </x:c>
      <x:c r="M144" s="20" t="n">
        <x:f>IF(L144="Completed",100,IF(L144="In Progress",50,0))</x:f>
        <x:v>0</x:v>
      </x:c>
      <x:c r="N144" s="20" t="str"/>
      <x:c r="O144" s="20" t="str"/>
      <x:c r="P144" s="20" t="str"/>
      <x:c r="Q144" s="20" t="str">
        <x:f>IF(OR(L144&lt;&gt;"Completed",P144=""),"",IF(P144&lt;4.5,"YES","NO"))</x:f>
      </x:c>
      <x:c r="R144" s="20" t="str"/>
    </x:row>
    <x:row r="145">
      <x:c r="A145" s="20" t="str">
        <x:v>T142</x:v>
      </x:c>
      <x:c r="B145" s="20" t="str">
        <x:v>2026-10-23</x:v>
      </x:c>
      <x:c r="C145" s="20" t="str">
        <x:v>W5</x:v>
      </x:c>
      <x:c r="D145" s="20" t="str">
        <x:v>3. PPRS Handout</x:v>
      </x:c>
      <x:c r="E145" s="20" t="str">
        <x:v>PPRS Handout</x:v>
      </x:c>
      <x:c r="F145" s="20" t="str">
        <x:v>Finalise Architecture and Implementation Pipeline section</x:v>
      </x:c>
      <x:c r="G145" s="20" t="str">
        <x:v>Architecture/Pipeline v1.0</x:v>
      </x:c>
      <x:c r="H145" s="20" t="n">
        <x:v>0.75</x:v>
      </x:c>
      <x:c r="I145" s="20" t="str">
        <x:v>High</x:v>
      </x:c>
      <x:c r="J145" s="20" t="str"/>
      <x:c r="K145" s="20" t="str"/>
      <x:c r="L145" s="20" t="str">
        <x:v>Not Started</x:v>
      </x:c>
      <x:c r="M145" s="20" t="n">
        <x:f>IF(L145="Completed",100,IF(L145="In Progress",50,0))</x:f>
        <x:v>0</x:v>
      </x:c>
      <x:c r="N145" s="20" t="str"/>
      <x:c r="O145" s="20" t="str"/>
      <x:c r="P145" s="20" t="str"/>
      <x:c r="Q145" s="20" t="str">
        <x:f>IF(OR(L145&lt;&gt;"Completed",P145=""),"",IF(P145&lt;4.5,"YES","NO"))</x:f>
      </x:c>
      <x:c r="R145" s="20" t="str"/>
    </x:row>
    <x:row r="146">
      <x:c r="A146" s="20" t="str">
        <x:v>T143</x:v>
      </x:c>
      <x:c r="B146" s="20" t="str">
        <x:v>2026-10-23</x:v>
      </x:c>
      <x:c r="C146" s="20" t="str">
        <x:v>W5</x:v>
      </x:c>
      <x:c r="D146" s="20" t="str">
        <x:v>3. PPRS Handout</x:v>
      </x:c>
      <x:c r="E146" s="20" t="str">
        <x:v>PPRS Handout</x:v>
      </x:c>
      <x:c r="F146" s="20" t="str">
        <x:v>Finalise Requirement Specification section</x:v>
      </x:c>
      <x:c r="G146" s="20" t="str">
        <x:v>Requirements section v1.0</x:v>
      </x:c>
      <x:c r="H146" s="20" t="n">
        <x:v>0.75</x:v>
      </x:c>
      <x:c r="I146" s="20" t="str">
        <x:v>High</x:v>
      </x:c>
      <x:c r="J146" s="20" t="str"/>
      <x:c r="K146" s="20" t="str"/>
      <x:c r="L146" s="20" t="str">
        <x:v>Not Started</x:v>
      </x:c>
      <x:c r="M146" s="20" t="n">
        <x:f>IF(L146="Completed",100,IF(L146="In Progress",50,0))</x:f>
        <x:v>0</x:v>
      </x:c>
      <x:c r="N146" s="20" t="str"/>
      <x:c r="O146" s="20" t="str"/>
      <x:c r="P146" s="20" t="str"/>
      <x:c r="Q146" s="20" t="str">
        <x:f>IF(OR(L146&lt;&gt;"Completed",P146=""),"",IF(P146&lt;4.5,"YES","NO"))</x:f>
      </x:c>
      <x:c r="R146" s="20" t="str"/>
    </x:row>
    <x:row r="147">
      <x:c r="A147" s="20" t="str">
        <x:v>T144</x:v>
      </x:c>
      <x:c r="B147" s="20" t="str">
        <x:v>2026-10-23</x:v>
      </x:c>
      <x:c r="C147" s="20" t="str">
        <x:v>W5</x:v>
      </x:c>
      <x:c r="D147" s="20" t="str">
        <x:v>Supporting / QA</x:v>
      </x:c>
      <x:c r="E147" s="20" t="str">
        <x:v>Project Control</x:v>
      </x:c>
      <x:c r="F147" s="20" t="str">
        <x:v>Check page-budget against 15-page limit</x:v>
      </x:c>
      <x:c r="G147" s="20" t="str">
        <x:v>Page-budget audit</x:v>
      </x:c>
      <x:c r="H147" s="20" t="n">
        <x:v>0.75</x:v>
      </x:c>
      <x:c r="I147" s="20" t="str">
        <x:v>High</x:v>
      </x:c>
      <x:c r="J147" s="20" t="str"/>
      <x:c r="K147" s="20" t="str"/>
      <x:c r="L147" s="20" t="str">
        <x:v>Not Started</x:v>
      </x:c>
      <x:c r="M147" s="20" t="n">
        <x:f>IF(L147="Completed",100,IF(L147="In Progress",50,0))</x:f>
        <x:v>0</x:v>
      </x:c>
      <x:c r="N147" s="20" t="str"/>
      <x:c r="O147" s="20" t="str"/>
      <x:c r="P147" s="20" t="str"/>
      <x:c r="Q147" s="20" t="str">
        <x:f>IF(OR(L147&lt;&gt;"Completed",P147=""),"",IF(P147&lt;4.5,"YES","NO"))</x:f>
      </x:c>
      <x:c r="R147" s="20" t="str"/>
    </x:row>
    <x:row r="148">
      <x:c r="A148" s="20" t="str">
        <x:v>T145</x:v>
      </x:c>
      <x:c r="B148" s="20" t="str">
        <x:v>2026-10-24</x:v>
      </x:c>
      <x:c r="C148" s="20" t="str">
        <x:v>W5</x:v>
      </x:c>
      <x:c r="D148" s="20" t="str">
        <x:v>3. PPRS Handout</x:v>
      </x:c>
      <x:c r="E148" s="20" t="str">
        <x:v>PPRS Handout</x:v>
      </x:c>
      <x:c r="F148" s="20" t="str">
        <x:v>Assemble complete 15-page handout Version 1.0</x:v>
      </x:c>
      <x:c r="G148" s="20" t="str">
        <x:v>Complete handout v1.0</x:v>
      </x:c>
      <x:c r="H148" s="20" t="n">
        <x:v>2</x:v>
      </x:c>
      <x:c r="I148" s="20" t="str">
        <x:v>High</x:v>
      </x:c>
      <x:c r="J148" s="20" t="str"/>
      <x:c r="K148" s="20" t="str">
        <x:v>Complete handout v1.0</x:v>
      </x:c>
      <x:c r="L148" s="20" t="str">
        <x:v>Not Started</x:v>
      </x:c>
      <x:c r="M148" s="20" t="n">
        <x:f>IF(L148="Completed",100,IF(L148="In Progress",50,0))</x:f>
        <x:v>0</x:v>
      </x:c>
      <x:c r="N148" s="20" t="str"/>
      <x:c r="O148" s="20" t="str"/>
      <x:c r="P148" s="20" t="str"/>
      <x:c r="Q148" s="20" t="str">
        <x:f>IF(OR(L148&lt;&gt;"Completed",P148=""),"",IF(P148&lt;4.5,"YES","NO"))</x:f>
      </x:c>
      <x:c r="R148" s="20" t="str"/>
    </x:row>
    <x:row r="149">
      <x:c r="A149" s="20" t="str">
        <x:v>T146</x:v>
      </x:c>
      <x:c r="B149" s="20" t="str">
        <x:v>2026-10-24</x:v>
      </x:c>
      <x:c r="C149" s="20" t="str">
        <x:v>W5</x:v>
      </x:c>
      <x:c r="D149" s="20" t="str">
        <x:v>3. PPRS Handout</x:v>
      </x:c>
      <x:c r="E149" s="20" t="str">
        <x:v>PPRS Handout</x:v>
      </x:c>
      <x:c r="F149" s="20" t="str">
        <x:v>Check figure and table numbering</x:v>
      </x:c>
      <x:c r="G149" s="20" t="str">
        <x:v>Figure/table check</x:v>
      </x:c>
      <x:c r="H149" s="20" t="n">
        <x:v>0.5</x:v>
      </x:c>
      <x:c r="I149" s="20" t="str">
        <x:v>High</x:v>
      </x:c>
      <x:c r="J149" s="20" t="str"/>
      <x:c r="K149" s="20" t="str"/>
      <x:c r="L149" s="20" t="str">
        <x:v>Not Started</x:v>
      </x:c>
      <x:c r="M149" s="20" t="n">
        <x:f>IF(L149="Completed",100,IF(L149="In Progress",50,0))</x:f>
        <x:v>0</x:v>
      </x:c>
      <x:c r="N149" s="20" t="str"/>
      <x:c r="O149" s="20" t="str"/>
      <x:c r="P149" s="20" t="str"/>
      <x:c r="Q149" s="20" t="str">
        <x:f>IF(OR(L149&lt;&gt;"Completed",P149=""),"",IF(P149&lt;4.5,"YES","NO"))</x:f>
      </x:c>
      <x:c r="R149" s="20" t="str"/>
    </x:row>
    <x:row r="150">
      <x:c r="A150" s="20" t="str">
        <x:v>T147</x:v>
      </x:c>
      <x:c r="B150" s="20" t="str">
        <x:v>2026-10-24</x:v>
      </x:c>
      <x:c r="C150" s="20" t="str">
        <x:v>W5</x:v>
      </x:c>
      <x:c r="D150" s="20" t="str">
        <x:v>3. PPRS Handout</x:v>
      </x:c>
      <x:c r="E150" s="20" t="str">
        <x:v>PPRS Handout</x:v>
      </x:c>
      <x:c r="F150" s="20" t="str">
        <x:v>Check references and DOI/link consistency</x:v>
      </x:c>
      <x:c r="G150" s="20" t="str">
        <x:v>Reference check</x:v>
      </x:c>
      <x:c r="H150" s="20" t="n">
        <x:v>0.75</x:v>
      </x:c>
      <x:c r="I150" s="20" t="str">
        <x:v>High</x:v>
      </x:c>
      <x:c r="J150" s="20" t="str"/>
      <x:c r="K150" s="20" t="str"/>
      <x:c r="L150" s="20" t="str">
        <x:v>Not Started</x:v>
      </x:c>
      <x:c r="M150" s="20" t="n">
        <x:f>IF(L150="Completed",100,IF(L150="In Progress",50,0))</x:f>
        <x:v>0</x:v>
      </x:c>
      <x:c r="N150" s="20" t="str"/>
      <x:c r="O150" s="20" t="str"/>
      <x:c r="P150" s="20" t="str"/>
      <x:c r="Q150" s="20" t="str">
        <x:f>IF(OR(L150&lt;&gt;"Completed",P150=""),"",IF(P150&lt;4.5,"YES","NO"))</x:f>
      </x:c>
      <x:c r="R150" s="20" t="str"/>
    </x:row>
    <x:row r="151">
      <x:c r="A151" s="20" t="str">
        <x:v>T148</x:v>
      </x:c>
      <x:c r="B151" s="20" t="str">
        <x:v>2026-10-24</x:v>
      </x:c>
      <x:c r="C151" s="20" t="str">
        <x:v>W5</x:v>
      </x:c>
      <x:c r="D151" s="20" t="str">
        <x:v>Supporting / QA</x:v>
      </x:c>
      <x:c r="E151" s="20" t="str">
        <x:v>Project Control</x:v>
      </x:c>
      <x:c r="F151" s="20" t="str">
        <x:v>Record all defects found in handout v1.0</x:v>
      </x:c>
      <x:c r="G151" s="20" t="str">
        <x:v>Defect list</x:v>
      </x:c>
      <x:c r="H151" s="20" t="n">
        <x:v>0.75</x:v>
      </x:c>
      <x:c r="I151" s="20" t="str">
        <x:v>High</x:v>
      </x:c>
      <x:c r="J151" s="20" t="str"/>
      <x:c r="K151" s="20" t="str"/>
      <x:c r="L151" s="20" t="str">
        <x:v>Not Started</x:v>
      </x:c>
      <x:c r="M151" s="20" t="n">
        <x:f>IF(L151="Completed",100,IF(L151="In Progress",50,0))</x:f>
        <x:v>0</x:v>
      </x:c>
      <x:c r="N151" s="20" t="str"/>
      <x:c r="O151" s="20" t="str"/>
      <x:c r="P151" s="20" t="str"/>
      <x:c r="Q151" s="20" t="str">
        <x:f>IF(OR(L151&lt;&gt;"Completed",P151=""),"",IF(P151&lt;4.5,"YES","NO"))</x:f>
      </x:c>
      <x:c r="R151" s="20" t="str"/>
    </x:row>
    <x:row r="152">
      <x:c r="A152" s="20" t="str">
        <x:v>T149</x:v>
      </x:c>
      <x:c r="B152" s="20" t="str">
        <x:v>2026-10-25</x:v>
      </x:c>
      <x:c r="C152" s="20" t="str">
        <x:v>W5</x:v>
      </x:c>
      <x:c r="D152" s="20" t="str">
        <x:v>3. PPRS Handout</x:v>
      </x:c>
      <x:c r="E152" s="20" t="str">
        <x:v>PPRS Handout</x:v>
      </x:c>
      <x:c r="F152" s="20" t="str">
        <x:v>Ensure gap → contribution → methodology → experiment alignment</x:v>
      </x:c>
      <x:c r="G152" s="20" t="str">
        <x:v>Alignment audit</x:v>
      </x:c>
      <x:c r="H152" s="20" t="n">
        <x:v>1</x:v>
      </x:c>
      <x:c r="I152" s="20" t="str">
        <x:v>High</x:v>
      </x:c>
      <x:c r="J152" s="20" t="str"/>
      <x:c r="K152" s="20" t="str"/>
      <x:c r="L152" s="20" t="str">
        <x:v>Not Started</x:v>
      </x:c>
      <x:c r="M152" s="20" t="n">
        <x:f>IF(L152="Completed",100,IF(L152="In Progress",50,0))</x:f>
        <x:v>0</x:v>
      </x:c>
      <x:c r="N152" s="20" t="str"/>
      <x:c r="O152" s="20" t="str"/>
      <x:c r="P152" s="20" t="str"/>
      <x:c r="Q152" s="20" t="str">
        <x:f>IF(OR(L152&lt;&gt;"Completed",P152=""),"",IF(P152&lt;4.5,"YES","NO"))</x:f>
      </x:c>
      <x:c r="R152" s="20" t="str"/>
    </x:row>
    <x:row r="153">
      <x:c r="A153" s="20" t="str">
        <x:v>T150</x:v>
      </x:c>
      <x:c r="B153" s="20" t="str">
        <x:v>2026-10-25</x:v>
      </x:c>
      <x:c r="C153" s="20" t="str">
        <x:v>W5</x:v>
      </x:c>
      <x:c r="D153" s="20" t="str">
        <x:v>3. PPRS Handout</x:v>
      </x:c>
      <x:c r="E153" s="20" t="str">
        <x:v>PPRS Handout</x:v>
      </x:c>
      <x:c r="F153" s="20" t="str">
        <x:v>Remove unsupported absolute claims</x:v>
      </x:c>
      <x:c r="G153" s="20" t="str">
        <x:v>Absolute-claim cleanup</x:v>
      </x:c>
      <x:c r="H153" s="20" t="n">
        <x:v>0.75</x:v>
      </x:c>
      <x:c r="I153" s="20" t="str">
        <x:v>High</x:v>
      </x:c>
      <x:c r="J153" s="20" t="str"/>
      <x:c r="K153" s="20" t="str"/>
      <x:c r="L153" s="20" t="str">
        <x:v>Not Started</x:v>
      </x:c>
      <x:c r="M153" s="20" t="n">
        <x:f>IF(L153="Completed",100,IF(L153="In Progress",50,0))</x:f>
        <x:v>0</x:v>
      </x:c>
      <x:c r="N153" s="20" t="str"/>
      <x:c r="O153" s="20" t="str"/>
      <x:c r="P153" s="20" t="str"/>
      <x:c r="Q153" s="20" t="str">
        <x:f>IF(OR(L153&lt;&gt;"Completed",P153=""),"",IF(P153&lt;4.5,"YES","NO"))</x:f>
      </x:c>
      <x:c r="R153" s="20" t="str"/>
    </x:row>
    <x:row r="154">
      <x:c r="A154" s="20" t="str">
        <x:v>T151</x:v>
      </x:c>
      <x:c r="B154" s="20" t="str">
        <x:v>2026-10-25</x:v>
      </x:c>
      <x:c r="C154" s="20" t="str">
        <x:v>W5</x:v>
      </x:c>
      <x:c r="D154" s="20" t="str">
        <x:v>3. PPRS Handout</x:v>
      </x:c>
      <x:c r="E154" s="20" t="str">
        <x:v>PPRS Handout</x:v>
      </x:c>
      <x:c r="F154" s="20" t="str">
        <x:v>Run full critical review for logical flow and duplication</x:v>
      </x:c>
      <x:c r="G154" s="20" t="str">
        <x:v>Handout critical review</x:v>
      </x:c>
      <x:c r="H154" s="20" t="n">
        <x:v>1.5</x:v>
      </x:c>
      <x:c r="I154" s="20" t="str">
        <x:v>High</x:v>
      </x:c>
      <x:c r="J154" s="20" t="str"/>
      <x:c r="K154" s="20" t="str"/>
      <x:c r="L154" s="20" t="str">
        <x:v>Not Started</x:v>
      </x:c>
      <x:c r="M154" s="20" t="n">
        <x:f>IF(L154="Completed",100,IF(L154="In Progress",50,0))</x:f>
        <x:v>0</x:v>
      </x:c>
      <x:c r="N154" s="20" t="str"/>
      <x:c r="O154" s="20" t="str"/>
      <x:c r="P154" s="20" t="str"/>
      <x:c r="Q154" s="20" t="str">
        <x:f>IF(OR(L154&lt;&gt;"Completed",P154=""),"",IF(P154&lt;4.5,"YES","NO"))</x:f>
      </x:c>
      <x:c r="R154" s="20" t="str"/>
    </x:row>
    <x:row r="155">
      <x:c r="A155" s="20" t="str">
        <x:v>T152</x:v>
      </x:c>
      <x:c r="B155" s="20" t="str">
        <x:v>2026-10-25</x:v>
      </x:c>
      <x:c r="C155" s="20" t="str">
        <x:v>W5</x:v>
      </x:c>
      <x:c r="D155" s="20" t="str">
        <x:v>5. Recorded Video</x:v>
      </x:c>
      <x:c r="E155" s="20" t="str">
        <x:v>PPRS Video</x:v>
      </x:c>
      <x:c r="F155" s="20" t="str">
        <x:v>Create recorded-presentation slide outline</x:v>
      </x:c>
      <x:c r="G155" s="20" t="str">
        <x:v>Video slide outline</x:v>
      </x:c>
      <x:c r="H155" s="20" t="n">
        <x:v>1.25</x:v>
      </x:c>
      <x:c r="I155" s="20" t="str">
        <x:v>High</x:v>
      </x:c>
      <x:c r="J155" s="20" t="str"/>
      <x:c r="K155" s="20" t="str"/>
      <x:c r="L155" s="20" t="str">
        <x:v>Not Started</x:v>
      </x:c>
      <x:c r="M155" s="20" t="n">
        <x:f>IF(L155="Completed",100,IF(L155="In Progress",50,0))</x:f>
        <x:v>0</x:v>
      </x:c>
      <x:c r="N155" s="20" t="str"/>
      <x:c r="O155" s="20" t="str"/>
      <x:c r="P155" s="20" t="str"/>
      <x:c r="Q155" s="20" t="str">
        <x:f>IF(OR(L155&lt;&gt;"Completed",P155=""),"",IF(P155&lt;4.5,"YES","NO"))</x:f>
      </x:c>
      <x:c r="R155" s="20" t="str"/>
    </x:row>
    <x:row r="156">
      <x:c r="A156" s="20" t="str">
        <x:v>T153</x:v>
      </x:c>
      <x:c r="B156" s="20" t="str">
        <x:v>2026-10-25</x:v>
      </x:c>
      <x:c r="C156" s="20" t="str">
        <x:v>W5</x:v>
      </x:c>
      <x:c r="D156" s="20" t="str">
        <x:v>4. Proof of Concept</x:v>
      </x:c>
      <x:c r="E156" s="20" t="str">
        <x:v>PoC</x:v>
      </x:c>
      <x:c r="F156" s="20" t="str">
        <x:v>Re-run PoC from clean environment and record reproducibility result</x:v>
      </x:c>
      <x:c r="G156" s="20" t="str">
        <x:v>Clean-run evidence</x:v>
      </x:c>
      <x:c r="H156" s="20" t="n">
        <x:v>1</x:v>
      </x:c>
      <x:c r="I156" s="20" t="str">
        <x:v>High</x:v>
      </x:c>
      <x:c r="J156" s="20" t="str"/>
      <x:c r="K156" s="20" t="str"/>
      <x:c r="L156" s="20" t="str">
        <x:v>Not Started</x:v>
      </x:c>
      <x:c r="M156" s="20" t="n">
        <x:f>IF(L156="Completed",100,IF(L156="In Progress",50,0))</x:f>
        <x:v>0</x:v>
      </x:c>
      <x:c r="N156" s="20" t="str"/>
      <x:c r="O156" s="20" t="str"/>
      <x:c r="P156" s="20" t="str"/>
      <x:c r="Q156" s="20" t="str">
        <x:f>IF(OR(L156&lt;&gt;"Completed",P156=""),"",IF(P156&lt;4.5,"YES","NO"))</x:f>
      </x:c>
      <x:c r="R156" s="20" t="str"/>
    </x:row>
    <x:row r="157">
      <x:c r="A157" s="20" t="str">
        <x:v>T154</x:v>
      </x:c>
      <x:c r="B157" s="20" t="str">
        <x:v>2026-10-25</x:v>
      </x:c>
      <x:c r="C157" s="20" t="str">
        <x:v>W5</x:v>
      </x:c>
      <x:c r="D157" s="20" t="str">
        <x:v>Supporting / QA</x:v>
      </x:c>
      <x:c r="E157" s="20" t="str">
        <x:v>Project Control</x:v>
      </x:c>
      <x:c r="F157" s="20" t="str">
        <x:v>Run Week 5 quality gate; all core deliverables must be &gt;=4.5/5</x:v>
      </x:c>
      <x:c r="G157" s="20" t="str">
        <x:v>Week 5 quality gate</x:v>
      </x:c>
      <x:c r="H157" s="20" t="n">
        <x:v>1.5</x:v>
      </x:c>
      <x:c r="I157" s="20" t="str">
        <x:v>High</x:v>
      </x:c>
      <x:c r="J157" s="20" t="str"/>
      <x:c r="K157" s="20" t="str"/>
      <x:c r="L157" s="20" t="str">
        <x:v>Not Started</x:v>
      </x:c>
      <x:c r="M157" s="20" t="n">
        <x:f>IF(L157="Completed",100,IF(L157="In Progress",50,0))</x:f>
        <x:v>0</x:v>
      </x:c>
      <x:c r="N157" s="20" t="str"/>
      <x:c r="O157" s="20" t="str"/>
      <x:c r="P157" s="20" t="str"/>
      <x:c r="Q157" s="20" t="str">
        <x:f>IF(OR(L157&lt;&gt;"Completed",P157=""),"",IF(P157&lt;4.5,"YES","NO"))</x:f>
      </x:c>
      <x:c r="R157" s="20" t="str"/>
    </x:row>
    <x:row r="158">
      <x:c r="A158" s="20" t="str">
        <x:v>T155</x:v>
      </x:c>
      <x:c r="B158" s="20" t="str">
        <x:v>2026-10-26</x:v>
      </x:c>
      <x:c r="C158" s="20" t="str">
        <x:v>W6</x:v>
      </x:c>
      <x:c r="D158" s="20" t="str">
        <x:v>3. PPRS Handout</x:v>
      </x:c>
      <x:c r="E158" s="20" t="str">
        <x:v>PPRS Handout</x:v>
      </x:c>
      <x:c r="F158" s="20" t="str">
        <x:v>Revise handout from Week 5 defect list</x:v>
      </x:c>
      <x:c r="G158" s="20" t="str">
        <x:v>Handout v1.1</x:v>
      </x:c>
      <x:c r="H158" s="20" t="n">
        <x:v>1.25</x:v>
      </x:c>
      <x:c r="I158" s="20" t="str">
        <x:v>High</x:v>
      </x:c>
      <x:c r="J158" s="20" t="str"/>
      <x:c r="K158" s="20" t="str"/>
      <x:c r="L158" s="20" t="str">
        <x:v>Not Started</x:v>
      </x:c>
      <x:c r="M158" s="20" t="n">
        <x:f>IF(L158="Completed",100,IF(L158="In Progress",50,0))</x:f>
        <x:v>0</x:v>
      </x:c>
      <x:c r="N158" s="20" t="str"/>
      <x:c r="O158" s="20" t="str"/>
      <x:c r="P158" s="20" t="str"/>
      <x:c r="Q158" s="20" t="str">
        <x:f>IF(OR(L158&lt;&gt;"Completed",P158=""),"",IF(P158&lt;4.5,"YES","NO"))</x:f>
      </x:c>
      <x:c r="R158" s="20" t="str"/>
    </x:row>
    <x:row r="159">
      <x:c r="A159" s="20" t="str">
        <x:v>T156</x:v>
      </x:c>
      <x:c r="B159" s="20" t="str">
        <x:v>2026-10-26</x:v>
      </x:c>
      <x:c r="C159" s="20" t="str">
        <x:v>W6</x:v>
      </x:c>
      <x:c r="D159" s="20" t="str">
        <x:v>5. Recorded Video</x:v>
      </x:c>
      <x:c r="E159" s="20" t="str">
        <x:v>PPRS Video</x:v>
      </x:c>
      <x:c r="F159" s="20" t="str">
        <x:v>Build slides 1–5: problem, background, literature, gap, contribution</x:v>
      </x:c>
      <x:c r="G159" s="20" t="str">
        <x:v>Slides 1–5</x:v>
      </x:c>
      <x:c r="H159" s="20" t="n">
        <x:v>1</x:v>
      </x:c>
      <x:c r="I159" s="20" t="str">
        <x:v>High</x:v>
      </x:c>
      <x:c r="J159" s="20" t="str"/>
      <x:c r="K159" s="20" t="str"/>
      <x:c r="L159" s="20" t="str">
        <x:v>Not Started</x:v>
      </x:c>
      <x:c r="M159" s="20" t="n">
        <x:f>IF(L159="Completed",100,IF(L159="In Progress",50,0))</x:f>
        <x:v>0</x:v>
      </x:c>
      <x:c r="N159" s="20" t="str"/>
      <x:c r="O159" s="20" t="str"/>
      <x:c r="P159" s="20" t="str"/>
      <x:c r="Q159" s="20" t="str">
        <x:f>IF(OR(L159&lt;&gt;"Completed",P159=""),"",IF(P159&lt;4.5,"YES","NO"))</x:f>
      </x:c>
      <x:c r="R159" s="20" t="str"/>
    </x:row>
    <x:row r="160">
      <x:c r="A160" s="20" t="str">
        <x:v>T157</x:v>
      </x:c>
      <x:c r="B160" s="20" t="str">
        <x:v>2026-10-26</x:v>
      </x:c>
      <x:c r="C160" s="20" t="str">
        <x:v>W6</x:v>
      </x:c>
      <x:c r="D160" s="20" t="str">
        <x:v>4. Proof of Concept</x:v>
      </x:c>
      <x:c r="E160" s="20" t="str">
        <x:v>PoC</x:v>
      </x:c>
      <x:c r="F160" s="20" t="str">
        <x:v>Create concise PoC demonstration sequence for recording</x:v>
      </x:c>
      <x:c r="G160" s="20" t="str">
        <x:v>PoC demo sequence</x:v>
      </x:c>
      <x:c r="H160" s="20" t="n">
        <x:v>0.75</x:v>
      </x:c>
      <x:c r="I160" s="20" t="str">
        <x:v>High</x:v>
      </x:c>
      <x:c r="J160" s="20" t="str"/>
      <x:c r="K160" s="20" t="str"/>
      <x:c r="L160" s="20" t="str">
        <x:v>Not Started</x:v>
      </x:c>
      <x:c r="M160" s="20" t="n">
        <x:f>IF(L160="Completed",100,IF(L160="In Progress",50,0))</x:f>
        <x:v>0</x:v>
      </x:c>
      <x:c r="N160" s="20" t="str"/>
      <x:c r="O160" s="20" t="str"/>
      <x:c r="P160" s="20" t="str"/>
      <x:c r="Q160" s="20" t="str">
        <x:f>IF(OR(L160&lt;&gt;"Completed",P160=""),"",IF(P160&lt;4.5,"YES","NO"))</x:f>
      </x:c>
      <x:c r="R160" s="20" t="str"/>
    </x:row>
    <x:row r="161">
      <x:c r="A161" s="20" t="str">
        <x:v>T158</x:v>
      </x:c>
      <x:c r="B161" s="20" t="str">
        <x:v>2026-10-27</x:v>
      </x:c>
      <x:c r="C161" s="20" t="str">
        <x:v>W6</x:v>
      </x:c>
      <x:c r="D161" s="20" t="str">
        <x:v>3. PPRS Handout</x:v>
      </x:c>
      <x:c r="E161" s="20" t="str">
        <x:v>PPRS Handout</x:v>
      </x:c>
      <x:c r="F161" s="20" t="str">
        <x:v>Finalise diagrams and ensure readability at normal zoom</x:v>
      </x:c>
      <x:c r="G161" s="20" t="str">
        <x:v>Final diagrams</x:v>
      </x:c>
      <x:c r="H161" s="20" t="n">
        <x:v>0.75</x:v>
      </x:c>
      <x:c r="I161" s="20" t="str">
        <x:v>High</x:v>
      </x:c>
      <x:c r="J161" s="20" t="str"/>
      <x:c r="K161" s="20" t="str"/>
      <x:c r="L161" s="20" t="str">
        <x:v>Not Started</x:v>
      </x:c>
      <x:c r="M161" s="20" t="n">
        <x:f>IF(L161="Completed",100,IF(L161="In Progress",50,0))</x:f>
        <x:v>0</x:v>
      </x:c>
      <x:c r="N161" s="20" t="str"/>
      <x:c r="O161" s="20" t="str"/>
      <x:c r="P161" s="20" t="str"/>
      <x:c r="Q161" s="20" t="str">
        <x:f>IF(OR(L161&lt;&gt;"Completed",P161=""),"",IF(P161&lt;4.5,"YES","NO"))</x:f>
      </x:c>
      <x:c r="R161" s="20" t="str"/>
    </x:row>
    <x:row r="162">
      <x:c r="A162" s="20" t="str">
        <x:v>T159</x:v>
      </x:c>
      <x:c r="B162" s="20" t="str">
        <x:v>2026-10-27</x:v>
      </x:c>
      <x:c r="C162" s="20" t="str">
        <x:v>W6</x:v>
      </x:c>
      <x:c r="D162" s="20" t="str">
        <x:v>5. Recorded Video</x:v>
      </x:c>
      <x:c r="E162" s="20" t="str">
        <x:v>PPRS Video</x:v>
      </x:c>
      <x:c r="F162" s="20" t="str">
        <x:v>Build slides 11–15: PoC, evaluation, risks, plan, conclusion</x:v>
      </x:c>
      <x:c r="G162" s="20" t="str">
        <x:v>Slides 11–15</x:v>
      </x:c>
      <x:c r="H162" s="20" t="n">
        <x:v>1</x:v>
      </x:c>
      <x:c r="I162" s="20" t="str">
        <x:v>High</x:v>
      </x:c>
      <x:c r="J162" s="20" t="str"/>
      <x:c r="K162" s="20" t="str"/>
      <x:c r="L162" s="20" t="str">
        <x:v>Not Started</x:v>
      </x:c>
      <x:c r="M162" s="20" t="n">
        <x:f>IF(L162="Completed",100,IF(L162="In Progress",50,0))</x:f>
        <x:v>0</x:v>
      </x:c>
      <x:c r="N162" s="20" t="str"/>
      <x:c r="O162" s="20" t="str"/>
      <x:c r="P162" s="20" t="str"/>
      <x:c r="Q162" s="20" t="str">
        <x:f>IF(OR(L162&lt;&gt;"Completed",P162=""),"",IF(P162&lt;4.5,"YES","NO"))</x:f>
      </x:c>
      <x:c r="R162" s="20" t="str"/>
    </x:row>
    <x:row r="163">
      <x:c r="A163" s="20" t="str">
        <x:v>T160</x:v>
      </x:c>
      <x:c r="B163" s="20" t="str">
        <x:v>2026-10-27</x:v>
      </x:c>
      <x:c r="C163" s="20" t="str">
        <x:v>W6</x:v>
      </x:c>
      <x:c r="D163" s="20" t="str">
        <x:v>5. Recorded Video</x:v>
      </x:c>
      <x:c r="E163" s="20" t="str">
        <x:v>PPRS Video</x:v>
      </x:c>
      <x:c r="F163" s="20" t="str">
        <x:v>Build slides 6–10: RQs, data, methodology, architecture, pipeline</x:v>
      </x:c>
      <x:c r="G163" s="20" t="str">
        <x:v>Slides 6–10</x:v>
      </x:c>
      <x:c r="H163" s="20" t="n">
        <x:v>1.25</x:v>
      </x:c>
      <x:c r="I163" s="20" t="str">
        <x:v>High</x:v>
      </x:c>
      <x:c r="J163" s="20" t="str"/>
      <x:c r="K163" s="20" t="str"/>
      <x:c r="L163" s="20" t="str">
        <x:v>Not Started</x:v>
      </x:c>
      <x:c r="M163" s="20" t="n">
        <x:f>IF(L163="Completed",100,IF(L163="In Progress",50,0))</x:f>
        <x:v>0</x:v>
      </x:c>
      <x:c r="N163" s="20" t="str"/>
      <x:c r="O163" s="20" t="str"/>
      <x:c r="P163" s="20" t="str"/>
      <x:c r="Q163" s="20" t="str">
        <x:f>IF(OR(L163&lt;&gt;"Completed",P163=""),"",IF(P163&lt;4.5,"YES","NO"))</x:f>
      </x:c>
      <x:c r="R163" s="20" t="str"/>
    </x:row>
    <x:row r="164">
      <x:c r="A164" s="20" t="str">
        <x:v>T161</x:v>
      </x:c>
      <x:c r="B164" s="20" t="str">
        <x:v>2026-10-28</x:v>
      </x:c>
      <x:c r="C164" s="20" t="str">
        <x:v>W6</x:v>
      </x:c>
      <x:c r="D164" s="20" t="str">
        <x:v>3. PPRS Handout</x:v>
      </x:c>
      <x:c r="E164" s="20" t="str">
        <x:v>PPRS Handout</x:v>
      </x:c>
      <x:c r="F164" s="20" t="str">
        <x:v>Complete final language and formatting edit</x:v>
      </x:c>
      <x:c r="G164" s="20" t="str">
        <x:v>Handout v1.2</x:v>
      </x:c>
      <x:c r="H164" s="20" t="n">
        <x:v>1</x:v>
      </x:c>
      <x:c r="I164" s="20" t="str">
        <x:v>High</x:v>
      </x:c>
      <x:c r="J164" s="20" t="str"/>
      <x:c r="K164" s="20" t="str"/>
      <x:c r="L164" s="20" t="str">
        <x:v>Not Started</x:v>
      </x:c>
      <x:c r="M164" s="20" t="n">
        <x:f>IF(L164="Completed",100,IF(L164="In Progress",50,0))</x:f>
        <x:v>0</x:v>
      </x:c>
      <x:c r="N164" s="20" t="str"/>
      <x:c r="O164" s="20" t="str"/>
      <x:c r="P164" s="20" t="str"/>
      <x:c r="Q164" s="20" t="str">
        <x:f>IF(OR(L164&lt;&gt;"Completed",P164=""),"",IF(P164&lt;4.5,"YES","NO"))</x:f>
      </x:c>
      <x:c r="R164" s="20" t="str"/>
    </x:row>
    <x:row r="165">
      <x:c r="A165" s="20" t="str">
        <x:v>T162</x:v>
      </x:c>
      <x:c r="B165" s="20" t="str">
        <x:v>2026-10-28</x:v>
      </x:c>
      <x:c r="C165" s="20" t="str">
        <x:v>W6</x:v>
      </x:c>
      <x:c r="D165" s="20" t="str">
        <x:v>5. Recorded Video</x:v>
      </x:c>
      <x:c r="E165" s="20" t="str">
        <x:v>PPRS Video</x:v>
      </x:c>
      <x:c r="F165" s="20" t="str">
        <x:v>Time one full spoken run and record duration</x:v>
      </x:c>
      <x:c r="G165" s="20" t="str">
        <x:v>Timing result</x:v>
      </x:c>
      <x:c r="H165" s="20" t="n">
        <x:v>1</x:v>
      </x:c>
      <x:c r="I165" s="20" t="str">
        <x:v>High</x:v>
      </x:c>
      <x:c r="J165" s="20" t="str"/>
      <x:c r="K165" s="20" t="str"/>
      <x:c r="L165" s="20" t="str">
        <x:v>Not Started</x:v>
      </x:c>
      <x:c r="M165" s="20" t="n">
        <x:f>IF(L165="Completed",100,IF(L165="In Progress",50,0))</x:f>
        <x:v>0</x:v>
      </x:c>
      <x:c r="N165" s="20" t="str"/>
      <x:c r="O165" s="20" t="str"/>
      <x:c r="P165" s="20" t="str"/>
      <x:c r="Q165" s="20" t="str">
        <x:f>IF(OR(L165&lt;&gt;"Completed",P165=""),"",IF(P165&lt;4.5,"YES","NO"))</x:f>
      </x:c>
      <x:c r="R165" s="20" t="str"/>
    </x:row>
    <x:row r="166">
      <x:c r="A166" s="20" t="str">
        <x:v>T163</x:v>
      </x:c>
      <x:c r="B166" s="20" t="str">
        <x:v>2026-10-28</x:v>
      </x:c>
      <x:c r="C166" s="20" t="str">
        <x:v>W6</x:v>
      </x:c>
      <x:c r="D166" s="20" t="str">
        <x:v>5. Recorded Video</x:v>
      </x:c>
      <x:c r="E166" s="20" t="str">
        <x:v>PPRS Video</x:v>
      </x:c>
      <x:c r="F166" s="20" t="str">
        <x:v>Write speaking notes for each recorded slide</x:v>
      </x:c>
      <x:c r="G166" s="20" t="str">
        <x:v>Video script v0.8</x:v>
      </x:c>
      <x:c r="H166" s="20" t="n">
        <x:v>1</x:v>
      </x:c>
      <x:c r="I166" s="20" t="str">
        <x:v>High</x:v>
      </x:c>
      <x:c r="J166" s="20" t="str"/>
      <x:c r="K166" s="20" t="str"/>
      <x:c r="L166" s="20" t="str">
        <x:v>Not Started</x:v>
      </x:c>
      <x:c r="M166" s="20" t="n">
        <x:f>IF(L166="Completed",100,IF(L166="In Progress",50,0))</x:f>
        <x:v>0</x:v>
      </x:c>
      <x:c r="N166" s="20" t="str"/>
      <x:c r="O166" s="20" t="str"/>
      <x:c r="P166" s="20" t="str"/>
      <x:c r="Q166" s="20" t="str">
        <x:f>IF(OR(L166&lt;&gt;"Completed",P166=""),"",IF(P166&lt;4.5,"YES","NO"))</x:f>
      </x:c>
      <x:c r="R166" s="20" t="str"/>
    </x:row>
    <x:row r="167">
      <x:c r="A167" s="20" t="str">
        <x:v>T164</x:v>
      </x:c>
      <x:c r="B167" s="20" t="str">
        <x:v>2026-10-29</x:v>
      </x:c>
      <x:c r="C167" s="20" t="str">
        <x:v>W6</x:v>
      </x:c>
      <x:c r="D167" s="20" t="str">
        <x:v>3. PPRS Handout</x:v>
      </x:c>
      <x:c r="E167" s="20" t="str">
        <x:v>PPRS Handout</x:v>
      </x:c>
      <x:c r="F167" s="20" t="str">
        <x:v>Perform final citation and reference cross-check</x:v>
      </x:c>
      <x:c r="G167" s="20" t="str">
        <x:v>Final citation audit</x:v>
      </x:c>
      <x:c r="H167" s="20" t="n">
        <x:v>0.75</x:v>
      </x:c>
      <x:c r="I167" s="20" t="str">
        <x:v>High</x:v>
      </x:c>
      <x:c r="J167" s="20" t="str"/>
      <x:c r="K167" s="20" t="str"/>
      <x:c r="L167" s="20" t="str">
        <x:v>Not Started</x:v>
      </x:c>
      <x:c r="M167" s="20" t="n">
        <x:f>IF(L167="Completed",100,IF(L167="In Progress",50,0))</x:f>
        <x:v>0</x:v>
      </x:c>
      <x:c r="N167" s="20" t="str"/>
      <x:c r="O167" s="20" t="str"/>
      <x:c r="P167" s="20" t="str"/>
      <x:c r="Q167" s="20" t="str">
        <x:f>IF(OR(L167&lt;&gt;"Completed",P167=""),"",IF(P167&lt;4.5,"YES","NO"))</x:f>
      </x:c>
      <x:c r="R167" s="20" t="str"/>
    </x:row>
    <x:row r="168">
      <x:c r="A168" s="20" t="str">
        <x:v>T165</x:v>
      </x:c>
      <x:c r="B168" s="20" t="str">
        <x:v>2026-10-29</x:v>
      </x:c>
      <x:c r="C168" s="20" t="str">
        <x:v>W6</x:v>
      </x:c>
      <x:c r="D168" s="20" t="str">
        <x:v>5. Recorded Video</x:v>
      </x:c>
      <x:c r="E168" s="20" t="str">
        <x:v>PPRS Video</x:v>
      </x:c>
      <x:c r="F168" s="20" t="str">
        <x:v>Record draft video</x:v>
      </x:c>
      <x:c r="G168" s="20" t="str">
        <x:v>Draft recorded presentation</x:v>
      </x:c>
      <x:c r="H168" s="20" t="n">
        <x:v>1</x:v>
      </x:c>
      <x:c r="I168" s="20" t="str">
        <x:v>High</x:v>
      </x:c>
      <x:c r="J168" s="20" t="str"/>
      <x:c r="K168" s="20" t="str"/>
      <x:c r="L168" s="20" t="str">
        <x:v>Not Started</x:v>
      </x:c>
      <x:c r="M168" s="20" t="n">
        <x:f>IF(L168="Completed",100,IF(L168="In Progress",50,0))</x:f>
        <x:v>0</x:v>
      </x:c>
      <x:c r="N168" s="20" t="str"/>
      <x:c r="O168" s="20" t="str"/>
      <x:c r="P168" s="20" t="str"/>
      <x:c r="Q168" s="20" t="str">
        <x:f>IF(OR(L168&lt;&gt;"Completed",P168=""),"",IF(P168&lt;4.5,"YES","NO"))</x:f>
      </x:c>
      <x:c r="R168" s="20" t="str"/>
    </x:row>
    <x:row r="169">
      <x:c r="A169" s="20" t="str">
        <x:v>T166</x:v>
      </x:c>
      <x:c r="B169" s="20" t="str">
        <x:v>2026-10-29</x:v>
      </x:c>
      <x:c r="C169" s="20" t="str">
        <x:v>W6</x:v>
      </x:c>
      <x:c r="D169" s="20" t="str">
        <x:v>5. Recorded Video</x:v>
      </x:c>
      <x:c r="E169" s="20" t="str">
        <x:v>PPRS Video</x:v>
      </x:c>
      <x:c r="F169" s="20" t="str">
        <x:v>Revise script to fit allowed duration</x:v>
      </x:c>
      <x:c r="G169" s="20" t="str">
        <x:v>Video script v1.0</x:v>
      </x:c>
      <x:c r="H169" s="20" t="n">
        <x:v>0.75</x:v>
      </x:c>
      <x:c r="I169" s="20" t="str">
        <x:v>High</x:v>
      </x:c>
      <x:c r="J169" s="20" t="str"/>
      <x:c r="K169" s="20" t="str"/>
      <x:c r="L169" s="20" t="str">
        <x:v>Not Started</x:v>
      </x:c>
      <x:c r="M169" s="20" t="n">
        <x:f>IF(L169="Completed",100,IF(L169="In Progress",50,0))</x:f>
        <x:v>0</x:v>
      </x:c>
      <x:c r="N169" s="20" t="str"/>
      <x:c r="O169" s="20" t="str"/>
      <x:c r="P169" s="20" t="str"/>
      <x:c r="Q169" s="20" t="str">
        <x:f>IF(OR(L169&lt;&gt;"Completed",P169=""),"",IF(P169&lt;4.5,"YES","NO"))</x:f>
      </x:c>
      <x:c r="R169" s="20" t="str"/>
    </x:row>
    <x:row r="170">
      <x:c r="A170" s="20" t="str">
        <x:v>T167</x:v>
      </x:c>
      <x:c r="B170" s="20" t="str">
        <x:v>2026-10-29</x:v>
      </x:c>
      <x:c r="C170" s="20" t="str">
        <x:v>W6</x:v>
      </x:c>
      <x:c r="D170" s="20" t="str">
        <x:v>Supporting / QA</x:v>
      </x:c>
      <x:c r="E170" s="20" t="str">
        <x:v>Project Control</x:v>
      </x:c>
      <x:c r="F170" s="20" t="str">
        <x:v>Review draft video for technical clarity and missing evidence</x:v>
      </x:c>
      <x:c r="G170" s="20" t="str">
        <x:v>Video defect list</x:v>
      </x:c>
      <x:c r="H170" s="20" t="n">
        <x:v>0.5</x:v>
      </x:c>
      <x:c r="I170" s="20" t="str">
        <x:v>High</x:v>
      </x:c>
      <x:c r="J170" s="20" t="str"/>
      <x:c r="K170" s="20" t="str"/>
      <x:c r="L170" s="20" t="str">
        <x:v>Not Started</x:v>
      </x:c>
      <x:c r="M170" s="20" t="n">
        <x:f>IF(L170="Completed",100,IF(L170="In Progress",50,0))</x:f>
        <x:v>0</x:v>
      </x:c>
      <x:c r="N170" s="20" t="str"/>
      <x:c r="O170" s="20" t="str"/>
      <x:c r="P170" s="20" t="str"/>
      <x:c r="Q170" s="20" t="str">
        <x:f>IF(OR(L170&lt;&gt;"Completed",P170=""),"",IF(P170&lt;4.5,"YES","NO"))</x:f>
      </x:c>
      <x:c r="R170" s="20" t="str"/>
    </x:row>
    <x:row r="171">
      <x:c r="A171" s="20" t="str">
        <x:v>T168</x:v>
      </x:c>
      <x:c r="B171" s="20" t="str">
        <x:v>2026-10-30</x:v>
      </x:c>
      <x:c r="C171" s="20" t="str">
        <x:v>W6</x:v>
      </x:c>
      <x:c r="D171" s="20" t="str">
        <x:v>3. PPRS Handout</x:v>
      </x:c>
      <x:c r="E171" s="20" t="str">
        <x:v>PPRS Handout</x:v>
      </x:c>
      <x:c r="F171" s="20" t="str">
        <x:v>Freeze content; only critical corrections allowed after today</x:v>
      </x:c>
      <x:c r="G171" s="20" t="str">
        <x:v>Handout content freeze</x:v>
      </x:c>
      <x:c r="H171" s="20" t="n">
        <x:v>0.5</x:v>
      </x:c>
      <x:c r="I171" s="20" t="str">
        <x:v>High</x:v>
      </x:c>
      <x:c r="J171" s="20" t="str"/>
      <x:c r="K171" s="20" t="str">
        <x:v>Handout content frozen</x:v>
      </x:c>
      <x:c r="L171" s="20" t="str">
        <x:v>Not Started</x:v>
      </x:c>
      <x:c r="M171" s="20" t="n">
        <x:f>IF(L171="Completed",100,IF(L171="In Progress",50,0))</x:f>
        <x:v>0</x:v>
      </x:c>
      <x:c r="N171" s="20" t="str"/>
      <x:c r="O171" s="20" t="str"/>
      <x:c r="P171" s="20" t="str"/>
      <x:c r="Q171" s="20" t="str">
        <x:f>IF(OR(L171&lt;&gt;"Completed",P171=""),"",IF(P171&lt;4.5,"YES","NO"))</x:f>
      </x:c>
      <x:c r="R171" s="20" t="str"/>
    </x:row>
    <x:row r="172">
      <x:c r="A172" s="20" t="str">
        <x:v>T169</x:v>
      </x:c>
      <x:c r="B172" s="20" t="str">
        <x:v>2026-10-30</x:v>
      </x:c>
      <x:c r="C172" s="20" t="str">
        <x:v>W6</x:v>
      </x:c>
      <x:c r="D172" s="20" t="str">
        <x:v>5. Recorded Video</x:v>
      </x:c>
      <x:c r="E172" s="20" t="str">
        <x:v>PPRS Video</x:v>
      </x:c>
      <x:c r="F172" s="20" t="str">
        <x:v>Correct slide defects identified from draft recording</x:v>
      </x:c>
      <x:c r="G172" s="20" t="str">
        <x:v>Slides v1.1</x:v>
      </x:c>
      <x:c r="H172" s="20" t="n">
        <x:v>0.75</x:v>
      </x:c>
      <x:c r="I172" s="20" t="str">
        <x:v>High</x:v>
      </x:c>
      <x:c r="J172" s="20" t="str"/>
      <x:c r="K172" s="20" t="str"/>
      <x:c r="L172" s="20" t="str">
        <x:v>Not Started</x:v>
      </x:c>
      <x:c r="M172" s="20" t="n">
        <x:f>IF(L172="Completed",100,IF(L172="In Progress",50,0))</x:f>
        <x:v>0</x:v>
      </x:c>
      <x:c r="N172" s="20" t="str"/>
      <x:c r="O172" s="20" t="str"/>
      <x:c r="P172" s="20" t="str"/>
      <x:c r="Q172" s="20" t="str">
        <x:f>IF(OR(L172&lt;&gt;"Completed",P172=""),"",IF(P172&lt;4.5,"YES","NO"))</x:f>
      </x:c>
      <x:c r="R172" s="20" t="str"/>
    </x:row>
    <x:row r="173">
      <x:c r="A173" s="20" t="str">
        <x:v>T170</x:v>
      </x:c>
      <x:c r="B173" s="20" t="str">
        <x:v>2026-10-30</x:v>
      </x:c>
      <x:c r="C173" s="20" t="str">
        <x:v>W6</x:v>
      </x:c>
      <x:c r="D173" s="20" t="str">
        <x:v>5. Recorded Video</x:v>
      </x:c>
      <x:c r="E173" s="20" t="str">
        <x:v>PPRS Video</x:v>
      </x:c>
      <x:c r="F173" s="20" t="str">
        <x:v>Record second video version</x:v>
      </x:c>
      <x:c r="G173" s="20" t="str">
        <x:v>Video v0.9</x:v>
      </x:c>
      <x:c r="H173" s="20" t="n">
        <x:v>1</x:v>
      </x:c>
      <x:c r="I173" s="20" t="str">
        <x:v>High</x:v>
      </x:c>
      <x:c r="J173" s="20" t="str"/>
      <x:c r="K173" s="20" t="str"/>
      <x:c r="L173" s="20" t="str">
        <x:v>Not Started</x:v>
      </x:c>
      <x:c r="M173" s="20" t="n">
        <x:f>IF(L173="Completed",100,IF(L173="In Progress",50,0))</x:f>
        <x:v>0</x:v>
      </x:c>
      <x:c r="N173" s="20" t="str"/>
      <x:c r="O173" s="20" t="str"/>
      <x:c r="P173" s="20" t="str"/>
      <x:c r="Q173" s="20" t="str">
        <x:f>IF(OR(L173&lt;&gt;"Completed",P173=""),"",IF(P173&lt;4.5,"YES","NO"))</x:f>
      </x:c>
      <x:c r="R173" s="20" t="str"/>
    </x:row>
    <x:row r="174">
      <x:c r="A174" s="20" t="str">
        <x:v>T171</x:v>
      </x:c>
      <x:c r="B174" s="20" t="str">
        <x:v>2026-10-30</x:v>
      </x:c>
      <x:c r="C174" s="20" t="str">
        <x:v>W6</x:v>
      </x:c>
      <x:c r="D174" s="20" t="str">
        <x:v>5. Recorded Video</x:v>
      </x:c>
      <x:c r="E174" s="20" t="str">
        <x:v>PPRS Video</x:v>
      </x:c>
      <x:c r="F174" s="20" t="str">
        <x:v>Review audio, timing, slide readability and PoC demo</x:v>
      </x:c>
      <x:c r="G174" s="20" t="str">
        <x:v>Video QA result</x:v>
      </x:c>
      <x:c r="H174" s="20" t="n">
        <x:v>0.75</x:v>
      </x:c>
      <x:c r="I174" s="20" t="str">
        <x:v>High</x:v>
      </x:c>
      <x:c r="J174" s="20" t="str"/>
      <x:c r="K174" s="20" t="str"/>
      <x:c r="L174" s="20" t="str">
        <x:v>Not Started</x:v>
      </x:c>
      <x:c r="M174" s="20" t="n">
        <x:f>IF(L174="Completed",100,IF(L174="In Progress",50,0))</x:f>
        <x:v>0</x:v>
      </x:c>
      <x:c r="N174" s="20" t="str"/>
      <x:c r="O174" s="20" t="str"/>
      <x:c r="P174" s="20" t="str"/>
      <x:c r="Q174" s="20" t="str">
        <x:f>IF(OR(L174&lt;&gt;"Completed",P174=""),"",IF(P174&lt;4.5,"YES","NO"))</x:f>
      </x:c>
      <x:c r="R174" s="20" t="str"/>
    </x:row>
    <x:row r="175">
      <x:c r="A175" s="20" t="str">
        <x:v>T172</x:v>
      </x:c>
      <x:c r="B175" s="20" t="str">
        <x:v>2026-10-31</x:v>
      </x:c>
      <x:c r="C175" s="20" t="str">
        <x:v>W6</x:v>
      </x:c>
      <x:c r="D175" s="20" t="str">
        <x:v>3. PPRS Handout</x:v>
      </x:c>
      <x:c r="E175" s="20" t="str">
        <x:v>PPRS Handout</x:v>
      </x:c>
      <x:c r="F175" s="20" t="str">
        <x:v>Run independent/self checklist against all required PPRS sections</x:v>
      </x:c>
      <x:c r="G175" s="20" t="str">
        <x:v>PPRS compliance checklist</x:v>
      </x:c>
      <x:c r="H175" s="20" t="n">
        <x:v>1</x:v>
      </x:c>
      <x:c r="I175" s="20" t="str">
        <x:v>High</x:v>
      </x:c>
      <x:c r="J175" s="20" t="str"/>
      <x:c r="K175" s="20" t="str"/>
      <x:c r="L175" s="20" t="str">
        <x:v>Not Started</x:v>
      </x:c>
      <x:c r="M175" s="20" t="n">
        <x:f>IF(L175="Completed",100,IF(L175="In Progress",50,0))</x:f>
        <x:v>0</x:v>
      </x:c>
      <x:c r="N175" s="20" t="str"/>
      <x:c r="O175" s="20" t="str"/>
      <x:c r="P175" s="20" t="str"/>
      <x:c r="Q175" s="20" t="str">
        <x:f>IF(OR(L175&lt;&gt;"Completed",P175=""),"",IF(P175&lt;4.5,"YES","NO"))</x:f>
      </x:c>
      <x:c r="R175" s="20" t="str"/>
    </x:row>
    <x:row r="176">
      <x:c r="A176" s="20" t="str">
        <x:v>T173</x:v>
      </x:c>
      <x:c r="B176" s="20" t="str">
        <x:v>2026-10-31</x:v>
      </x:c>
      <x:c r="C176" s="20" t="str">
        <x:v>W6</x:v>
      </x:c>
      <x:c r="D176" s="20" t="str">
        <x:v>5. Recorded Video</x:v>
      </x:c>
      <x:c r="E176" s="20" t="str">
        <x:v>PPRS Video</x:v>
      </x:c>
      <x:c r="F176" s="20" t="str">
        <x:v>Apply final presentation corrections</x:v>
      </x:c>
      <x:c r="G176" s="20" t="str">
        <x:v>Slides/script final corrections</x:v>
      </x:c>
      <x:c r="H176" s="20" t="n">
        <x:v>1</x:v>
      </x:c>
      <x:c r="I176" s="20" t="str">
        <x:v>High</x:v>
      </x:c>
      <x:c r="J176" s="20" t="str"/>
      <x:c r="K176" s="20" t="str"/>
      <x:c r="L176" s="20" t="str">
        <x:v>Not Started</x:v>
      </x:c>
      <x:c r="M176" s="20" t="n">
        <x:f>IF(L176="Completed",100,IF(L176="In Progress",50,0))</x:f>
        <x:v>0</x:v>
      </x:c>
      <x:c r="N176" s="20" t="str"/>
      <x:c r="O176" s="20" t="str"/>
      <x:c r="P176" s="20" t="str"/>
      <x:c r="Q176" s="20" t="str">
        <x:f>IF(OR(L176&lt;&gt;"Completed",P176=""),"",IF(P176&lt;4.5,"YES","NO"))</x:f>
      </x:c>
      <x:c r="R176" s="20" t="str"/>
    </x:row>
    <x:row r="177">
      <x:c r="A177" s="20" t="str">
        <x:v>T174</x:v>
      </x:c>
      <x:c r="B177" s="20" t="str">
        <x:v>2026-10-31</x:v>
      </x:c>
      <x:c r="C177" s="20" t="str">
        <x:v>W6</x:v>
      </x:c>
      <x:c r="D177" s="20" t="str">
        <x:v>5. Recorded Video</x:v>
      </x:c>
      <x:c r="E177" s="20" t="str">
        <x:v>PPRS Video</x:v>
      </x:c>
      <x:c r="F177" s="20" t="str">
        <x:v>Record final candidate video</x:v>
      </x:c>
      <x:c r="G177" s="20" t="str">
        <x:v>Final-candidate video</x:v>
      </x:c>
      <x:c r="H177" s="20" t="n">
        <x:v>1.5</x:v>
      </x:c>
      <x:c r="I177" s="20" t="str">
        <x:v>High</x:v>
      </x:c>
      <x:c r="J177" s="20" t="str"/>
      <x:c r="K177" s="20" t="str"/>
      <x:c r="L177" s="20" t="str">
        <x:v>Not Started</x:v>
      </x:c>
      <x:c r="M177" s="20" t="n">
        <x:f>IF(L177="Completed",100,IF(L177="In Progress",50,0))</x:f>
        <x:v>0</x:v>
      </x:c>
      <x:c r="N177" s="20" t="str"/>
      <x:c r="O177" s="20" t="str"/>
      <x:c r="P177" s="20" t="str"/>
      <x:c r="Q177" s="20" t="str">
        <x:f>IF(OR(L177&lt;&gt;"Completed",P177=""),"",IF(P177&lt;4.5,"YES","NO"))</x:f>
      </x:c>
      <x:c r="R177" s="20" t="str"/>
    </x:row>
    <x:row r="178">
      <x:c r="A178" s="20" t="str">
        <x:v>T175</x:v>
      </x:c>
      <x:c r="B178" s="20" t="str">
        <x:v>2026-10-31</x:v>
      </x:c>
      <x:c r="C178" s="20" t="str">
        <x:v>W6</x:v>
      </x:c>
      <x:c r="D178" s="20" t="str">
        <x:v>Supporting / QA</x:v>
      </x:c>
      <x:c r="E178" s="20" t="str">
        <x:v>Project Control</x:v>
      </x:c>
      <x:c r="F178" s="20" t="str">
        <x:v>Back up handout, slides, video and PoC evidence</x:v>
      </x:c>
      <x:c r="G178" s="20" t="str">
        <x:v>Backup confirmation</x:v>
      </x:c>
      <x:c r="H178" s="20" t="n">
        <x:v>0.5</x:v>
      </x:c>
      <x:c r="I178" s="20" t="str">
        <x:v>High</x:v>
      </x:c>
      <x:c r="J178" s="20" t="str"/>
      <x:c r="K178" s="20" t="str"/>
      <x:c r="L178" s="20" t="str">
        <x:v>Not Started</x:v>
      </x:c>
      <x:c r="M178" s="20" t="n">
        <x:f>IF(L178="Completed",100,IF(L178="In Progress",50,0))</x:f>
        <x:v>0</x:v>
      </x:c>
      <x:c r="N178" s="20" t="str"/>
      <x:c r="O178" s="20" t="str"/>
      <x:c r="P178" s="20" t="str"/>
      <x:c r="Q178" s="20" t="str">
        <x:f>IF(OR(L178&lt;&gt;"Completed",P178=""),"",IF(P178&lt;4.5,"YES","NO"))</x:f>
      </x:c>
      <x:c r="R178" s="20" t="str"/>
    </x:row>
    <x:row r="179">
      <x:c r="A179" s="20" t="str">
        <x:v>T176</x:v>
      </x:c>
      <x:c r="B179" s="20" t="str">
        <x:v>2026-11-01</x:v>
      </x:c>
      <x:c r="C179" s="20" t="str">
        <x:v>W6</x:v>
      </x:c>
      <x:c r="D179" s="20" t="str">
        <x:v>3. PPRS Handout</x:v>
      </x:c>
      <x:c r="E179" s="20" t="str">
        <x:v>PPRS Handout</x:v>
      </x:c>
      <x:c r="F179" s="20" t="str">
        <x:v>Proofread complete handout from start to finish</x:v>
      </x:c>
      <x:c r="G179" s="20" t="str">
        <x:v>Proofread notes</x:v>
      </x:c>
      <x:c r="H179" s="20" t="n">
        <x:v>1.5</x:v>
      </x:c>
      <x:c r="I179" s="20" t="str">
        <x:v>High</x:v>
      </x:c>
      <x:c r="J179" s="20" t="str"/>
      <x:c r="K179" s="20" t="str"/>
      <x:c r="L179" s="20" t="str">
        <x:v>Not Started</x:v>
      </x:c>
      <x:c r="M179" s="20" t="n">
        <x:f>IF(L179="Completed",100,IF(L179="In Progress",50,0))</x:f>
        <x:v>0</x:v>
      </x:c>
      <x:c r="N179" s="20" t="str"/>
      <x:c r="O179" s="20" t="str"/>
      <x:c r="P179" s="20" t="str"/>
      <x:c r="Q179" s="20" t="str">
        <x:f>IF(OR(L179&lt;&gt;"Completed",P179=""),"",IF(P179&lt;4.5,"YES","NO"))</x:f>
      </x:c>
      <x:c r="R179" s="20" t="str"/>
    </x:row>
    <x:row r="180">
      <x:c r="A180" s="20" t="str">
        <x:v>T177</x:v>
      </x:c>
      <x:c r="B180" s="20" t="str">
        <x:v>2026-11-01</x:v>
      </x:c>
      <x:c r="C180" s="20" t="str">
        <x:v>W6</x:v>
      </x:c>
      <x:c r="D180" s="20" t="str">
        <x:v>3. PPRS Handout</x:v>
      </x:c>
      <x:c r="E180" s="20" t="str">
        <x:v>PPRS Handout</x:v>
      </x:c>
      <x:c r="F180" s="20" t="str">
        <x:v>Resolve all proofreading issues</x:v>
      </x:c>
      <x:c r="G180" s="20" t="str">
        <x:v>Handout vFinal candidate</x:v>
      </x:c>
      <x:c r="H180" s="20" t="n">
        <x:v>1</x:v>
      </x:c>
      <x:c r="I180" s="20" t="str">
        <x:v>High</x:v>
      </x:c>
      <x:c r="J180" s="20" t="str"/>
      <x:c r="K180" s="20" t="str"/>
      <x:c r="L180" s="20" t="str">
        <x:v>Not Started</x:v>
      </x:c>
      <x:c r="M180" s="20" t="n">
        <x:f>IF(L180="Completed",100,IF(L180="In Progress",50,0))</x:f>
        <x:v>0</x:v>
      </x:c>
      <x:c r="N180" s="20" t="str"/>
      <x:c r="O180" s="20" t="str"/>
      <x:c r="P180" s="20" t="str"/>
      <x:c r="Q180" s="20" t="str">
        <x:f>IF(OR(L180&lt;&gt;"Completed",P180=""),"",IF(P180&lt;4.5,"YES","NO"))</x:f>
      </x:c>
      <x:c r="R180" s="20" t="str"/>
    </x:row>
    <x:row r="181">
      <x:c r="A181" s="20" t="str">
        <x:v>T178</x:v>
      </x:c>
      <x:c r="B181" s="20" t="str">
        <x:v>2026-11-01</x:v>
      </x:c>
      <x:c r="C181" s="20" t="str">
        <x:v>W6</x:v>
      </x:c>
      <x:c r="D181" s="20" t="str">
        <x:v>5. Recorded Video</x:v>
      </x:c>
      <x:c r="E181" s="20" t="str">
        <x:v>PPRS Video</x:v>
      </x:c>
      <x:c r="F181" s="20" t="str">
        <x:v>Resolve final video defects and export final recording</x:v>
      </x:c>
      <x:c r="G181" s="20" t="str">
        <x:v>Final recorded video</x:v>
      </x:c>
      <x:c r="H181" s="20" t="n">
        <x:v>2</x:v>
      </x:c>
      <x:c r="I181" s="20" t="str">
        <x:v>High</x:v>
      </x:c>
      <x:c r="J181" s="20" t="str"/>
      <x:c r="K181" s="20" t="str">
        <x:v>Recorded video complete</x:v>
      </x:c>
      <x:c r="L181" s="20" t="str">
        <x:v>Not Started</x:v>
      </x:c>
      <x:c r="M181" s="20" t="n">
        <x:f>IF(L181="Completed",100,IF(L181="In Progress",50,0))</x:f>
        <x:v>0</x:v>
      </x:c>
      <x:c r="N181" s="20" t="str"/>
      <x:c r="O181" s="20" t="str"/>
      <x:c r="P181" s="20" t="str"/>
      <x:c r="Q181" s="20" t="str">
        <x:f>IF(OR(L181&lt;&gt;"Completed",P181=""),"",IF(P181&lt;4.5,"YES","NO"))</x:f>
      </x:c>
      <x:c r="R181" s="20" t="str"/>
    </x:row>
    <x:row r="182">
      <x:c r="A182" s="20" t="str">
        <x:v>T179</x:v>
      </x:c>
      <x:c r="B182" s="20" t="str">
        <x:v>2026-11-01</x:v>
      </x:c>
      <x:c r="C182" s="20" t="str">
        <x:v>W6</x:v>
      </x:c>
      <x:c r="D182" s="20" t="str">
        <x:v>5. Recorded Video</x:v>
      </x:c>
      <x:c r="E182" s="20" t="str">
        <x:v>PPRS Video</x:v>
      </x:c>
      <x:c r="F182" s="20" t="str">
        <x:v>Watch final candidate video end-to-end and log defects</x:v>
      </x:c>
      <x:c r="G182" s="20" t="str">
        <x:v>Final video QA log</x:v>
      </x:c>
      <x:c r="H182" s="20" t="n">
        <x:v>1</x:v>
      </x:c>
      <x:c r="I182" s="20" t="str">
        <x:v>High</x:v>
      </x:c>
      <x:c r="J182" s="20" t="str"/>
      <x:c r="K182" s="20" t="str"/>
      <x:c r="L182" s="20" t="str">
        <x:v>Not Started</x:v>
      </x:c>
      <x:c r="M182" s="20" t="n">
        <x:f>IF(L182="Completed",100,IF(L182="In Progress",50,0))</x:f>
        <x:v>0</x:v>
      </x:c>
      <x:c r="N182" s="20" t="str"/>
      <x:c r="O182" s="20" t="str"/>
      <x:c r="P182" s="20" t="str"/>
      <x:c r="Q182" s="20" t="str">
        <x:f>IF(OR(L182&lt;&gt;"Completed",P182=""),"",IF(P182&lt;4.5,"YES","NO"))</x:f>
      </x:c>
      <x:c r="R182" s="20" t="str"/>
    </x:row>
    <x:row r="183">
      <x:c r="A183" s="20" t="str">
        <x:v>T180</x:v>
      </x:c>
      <x:c r="B183" s="20" t="str">
        <x:v>2026-11-01</x:v>
      </x:c>
      <x:c r="C183" s="20" t="str">
        <x:v>W6</x:v>
      </x:c>
      <x:c r="D183" s="20" t="str">
        <x:v>4. Proof of Concept</x:v>
      </x:c>
      <x:c r="E183" s="20" t="str">
        <x:v>PoC</x:v>
      </x:c>
      <x:c r="F183" s="20" t="str">
        <x:v>Package PoC evidence and reproducibility instructions</x:v>
      </x:c>
      <x:c r="G183" s="20" t="str">
        <x:v>PoC evidence package</x:v>
      </x:c>
      <x:c r="H183" s="20" t="n">
        <x:v>1</x:v>
      </x:c>
      <x:c r="I183" s="20" t="str">
        <x:v>High</x:v>
      </x:c>
      <x:c r="J183" s="20" t="str"/>
      <x:c r="K183" s="20" t="str"/>
      <x:c r="L183" s="20" t="str">
        <x:v>Not Started</x:v>
      </x:c>
      <x:c r="M183" s="20" t="n">
        <x:f>IF(L183="Completed",100,IF(L183="In Progress",50,0))</x:f>
        <x:v>0</x:v>
      </x:c>
      <x:c r="N183" s="20" t="str"/>
      <x:c r="O183" s="20" t="str"/>
      <x:c r="P183" s="20" t="str"/>
      <x:c r="Q183" s="20" t="str">
        <x:f>IF(OR(L183&lt;&gt;"Completed",P183=""),"",IF(P183&lt;4.5,"YES","NO"))</x:f>
      </x:c>
      <x:c r="R183" s="20" t="str"/>
    </x:row>
    <x:row r="184">
      <x:c r="A184" s="20" t="str">
        <x:v>T181</x:v>
      </x:c>
      <x:c r="B184" s="20" t="str">
        <x:v>2026-11-01</x:v>
      </x:c>
      <x:c r="C184" s="20" t="str">
        <x:v>W6</x:v>
      </x:c>
      <x:c r="D184" s="20" t="str">
        <x:v>Supporting / QA</x:v>
      </x:c>
      <x:c r="E184" s="20" t="str">
        <x:v>Project Control</x:v>
      </x:c>
      <x:c r="F184" s="20" t="str">
        <x:v>Run Week 6 final readiness audit</x:v>
      </x:c>
      <x:c r="G184" s="20" t="str">
        <x:v>Final readiness audit</x:v>
      </x:c>
      <x:c r="H184" s="20" t="n">
        <x:v>1.5</x:v>
      </x:c>
      <x:c r="I184" s="20" t="str">
        <x:v>High</x:v>
      </x:c>
      <x:c r="J184" s="20" t="str"/>
      <x:c r="K184" s="20" t="str"/>
      <x:c r="L184" s="20" t="str">
        <x:v>Not Started</x:v>
      </x:c>
      <x:c r="M184" s="20" t="n">
        <x:f>IF(L184="Completed",100,IF(L184="In Progress",50,0))</x:f>
        <x:v>0</x:v>
      </x:c>
      <x:c r="N184" s="20" t="str"/>
      <x:c r="O184" s="20" t="str"/>
      <x:c r="P184" s="20" t="str"/>
      <x:c r="Q184" s="20" t="str">
        <x:f>IF(OR(L184&lt;&gt;"Completed",P184=""),"",IF(P184&lt;4.5,"YES","NO"))</x:f>
      </x:c>
      <x:c r="R184" s="20" t="str"/>
    </x:row>
    <x:row r="185">
      <x:c r="A185" s="20" t="str">
        <x:v>T182</x:v>
      </x:c>
      <x:c r="B185" s="20" t="str">
        <x:v>2026-11-02</x:v>
      </x:c>
      <x:c r="C185" s="20" t="str">
        <x:v>W7</x:v>
      </x:c>
      <x:c r="D185" s="20" t="str">
        <x:v>3. PPRS Handout</x:v>
      </x:c>
      <x:c r="E185" s="20" t="str">
        <x:v>PPRS Handout</x:v>
      </x:c>
      <x:c r="F185" s="20" t="str">
        <x:v>Run final page-limit, numbering and formatting check</x:v>
      </x:c>
      <x:c r="G185" s="20" t="str">
        <x:v>Submission-ready handout</x:v>
      </x:c>
      <x:c r="H185" s="20" t="n">
        <x:v>1</x:v>
      </x:c>
      <x:c r="I185" s="20" t="str">
        <x:v>High</x:v>
      </x:c>
      <x:c r="J185" s="20" t="str"/>
      <x:c r="K185" s="20" t="str"/>
      <x:c r="L185" s="20" t="str">
        <x:v>Not Started</x:v>
      </x:c>
      <x:c r="M185" s="20" t="n">
        <x:f>IF(L185="Completed",100,IF(L185="In Progress",50,0))</x:f>
        <x:v>0</x:v>
      </x:c>
      <x:c r="N185" s="20" t="str"/>
      <x:c r="O185" s="20" t="str"/>
      <x:c r="P185" s="20" t="str"/>
      <x:c r="Q185" s="20" t="str">
        <x:f>IF(OR(L185&lt;&gt;"Completed",P185=""),"",IF(P185&lt;4.5,"YES","NO"))</x:f>
      </x:c>
      <x:c r="R185" s="20" t="str"/>
    </x:row>
    <x:row r="186">
      <x:c r="A186" s="20" t="str">
        <x:v>T183</x:v>
      </x:c>
      <x:c r="B186" s="20" t="str">
        <x:v>2026-11-02</x:v>
      </x:c>
      <x:c r="C186" s="20" t="str">
        <x:v>W7</x:v>
      </x:c>
      <x:c r="D186" s="20" t="str">
        <x:v>5. Recorded Video</x:v>
      </x:c>
      <x:c r="E186" s="20" t="str">
        <x:v>PPRS Video</x:v>
      </x:c>
      <x:c r="F186" s="20" t="str">
        <x:v>Verify final video file opens, plays and has correct duration</x:v>
      </x:c>
      <x:c r="G186" s="20" t="str">
        <x:v>Video technical verification</x:v>
      </x:c>
      <x:c r="H186" s="20" t="n">
        <x:v>0.5</x:v>
      </x:c>
      <x:c r="I186" s="20" t="str">
        <x:v>High</x:v>
      </x:c>
      <x:c r="J186" s="20" t="str"/>
      <x:c r="K186" s="20" t="str"/>
      <x:c r="L186" s="20" t="str">
        <x:v>Not Started</x:v>
      </x:c>
      <x:c r="M186" s="20" t="n">
        <x:f>IF(L186="Completed",100,IF(L186="In Progress",50,0))</x:f>
        <x:v>0</x:v>
      </x:c>
      <x:c r="N186" s="20" t="str"/>
      <x:c r="O186" s="20" t="str"/>
      <x:c r="P186" s="20" t="str"/>
      <x:c r="Q186" s="20" t="str">
        <x:f>IF(OR(L186&lt;&gt;"Completed",P186=""),"",IF(P186&lt;4.5,"YES","NO"))</x:f>
      </x:c>
      <x:c r="R186" s="20" t="str"/>
    </x:row>
    <x:row r="187">
      <x:c r="A187" s="20" t="str">
        <x:v>T184</x:v>
      </x:c>
      <x:c r="B187" s="20" t="str">
        <x:v>2026-11-02</x:v>
      </x:c>
      <x:c r="C187" s="20" t="str">
        <x:v>W7</x:v>
      </x:c>
      <x:c r="D187" s="20" t="str">
        <x:v>4. Proof of Concept</x:v>
      </x:c>
      <x:c r="E187" s="20" t="str">
        <x:v>PoC</x:v>
      </x:c>
      <x:c r="F187" s="20" t="str">
        <x:v>Verify PoC evidence links/files referenced in handout are accessible</x:v>
      </x:c>
      <x:c r="G187" s="20" t="str">
        <x:v>PoC link verification</x:v>
      </x:c>
      <x:c r="H187" s="20" t="n">
        <x:v>0.75</x:v>
      </x:c>
      <x:c r="I187" s="20" t="str">
        <x:v>High</x:v>
      </x:c>
      <x:c r="J187" s="20" t="str"/>
      <x:c r="K187" s="20" t="str"/>
      <x:c r="L187" s="20" t="str">
        <x:v>Not Started</x:v>
      </x:c>
      <x:c r="M187" s="20" t="n">
        <x:f>IF(L187="Completed",100,IF(L187="In Progress",50,0))</x:f>
        <x:v>0</x:v>
      </x:c>
      <x:c r="N187" s="20" t="str"/>
      <x:c r="O187" s="20" t="str"/>
      <x:c r="P187" s="20" t="str"/>
      <x:c r="Q187" s="20" t="str">
        <x:f>IF(OR(L187&lt;&gt;"Completed",P187=""),"",IF(P187&lt;4.5,"YES","NO"))</x:f>
      </x:c>
      <x:c r="R187" s="20" t="str"/>
    </x:row>
    <x:row r="188">
      <x:c r="A188" s="20" t="str">
        <x:v>T185</x:v>
      </x:c>
      <x:c r="B188" s="20" t="str">
        <x:v>2026-11-02</x:v>
      </x:c>
      <x:c r="C188" s="20" t="str">
        <x:v>W7</x:v>
      </x:c>
      <x:c r="D188" s="20" t="str">
        <x:v>Supporting / QA</x:v>
      </x:c>
      <x:c r="E188" s="20" t="str">
        <x:v>Project Control</x:v>
      </x:c>
      <x:c r="F188" s="20" t="str">
        <x:v>Verify all submission filenames and required artefacts</x:v>
      </x:c>
      <x:c r="G188" s="20" t="str">
        <x:v>Submission package checklist</x:v>
      </x:c>
      <x:c r="H188" s="20" t="n">
        <x:v>0.75</x:v>
      </x:c>
      <x:c r="I188" s="20" t="str">
        <x:v>High</x:v>
      </x:c>
      <x:c r="J188" s="20" t="str"/>
      <x:c r="K188" s="20" t="str"/>
      <x:c r="L188" s="20" t="str">
        <x:v>Not Started</x:v>
      </x:c>
      <x:c r="M188" s="20" t="n">
        <x:f>IF(L188="Completed",100,IF(L188="In Progress",50,0))</x:f>
        <x:v>0</x:v>
      </x:c>
      <x:c r="N188" s="20" t="str"/>
      <x:c r="O188" s="20" t="str"/>
      <x:c r="P188" s="20" t="str"/>
      <x:c r="Q188" s="20" t="str">
        <x:f>IF(OR(L188&lt;&gt;"Completed",P188=""),"",IF(P188&lt;4.5,"YES","NO"))</x:f>
      </x:c>
      <x:c r="R188" s="20" t="str"/>
    </x:row>
    <x:row r="189">
      <x:c r="A189" s="20" t="str">
        <x:v>T186</x:v>
      </x:c>
      <x:c r="B189" s="20" t="str">
        <x:v>2026-11-03</x:v>
      </x:c>
      <x:c r="C189" s="20" t="str">
        <x:v>W7</x:v>
      </x:c>
      <x:c r="D189" s="20" t="str">
        <x:v>3. PPRS Handout</x:v>
      </x:c>
      <x:c r="E189" s="20" t="str">
        <x:v>PPRS Handout</x:v>
      </x:c>
      <x:c r="F189" s="20" t="str">
        <x:v>Perform final typo-only review; no structural rewrite</x:v>
      </x:c>
      <x:c r="G189" s="20" t="str">
        <x:v>Final typo check</x:v>
      </x:c>
      <x:c r="H189" s="20" t="n">
        <x:v>1</x:v>
      </x:c>
      <x:c r="I189" s="20" t="str">
        <x:v>High</x:v>
      </x:c>
      <x:c r="J189" s="20" t="str"/>
      <x:c r="K189" s="20" t="str"/>
      <x:c r="L189" s="20" t="str">
        <x:v>Not Started</x:v>
      </x:c>
      <x:c r="M189" s="20" t="n">
        <x:f>IF(L189="Completed",100,IF(L189="In Progress",50,0))</x:f>
        <x:v>0</x:v>
      </x:c>
      <x:c r="N189" s="20" t="str"/>
      <x:c r="O189" s="20" t="str"/>
      <x:c r="P189" s="20" t="str"/>
      <x:c r="Q189" s="20" t="str">
        <x:f>IF(OR(L189&lt;&gt;"Completed",P189=""),"",IF(P189&lt;4.5,"YES","NO"))</x:f>
      </x:c>
      <x:c r="R189" s="20" t="str"/>
    </x:row>
    <x:row r="190">
      <x:c r="A190" s="20" t="str">
        <x:v>T187</x:v>
      </x:c>
      <x:c r="B190" s="20" t="str">
        <x:v>2026-11-03</x:v>
      </x:c>
      <x:c r="C190" s="20" t="str">
        <x:v>W7</x:v>
      </x:c>
      <x:c r="D190" s="20" t="str">
        <x:v>5. Recorded Video</x:v>
      </x:c>
      <x:c r="E190" s="20" t="str">
        <x:v>PPRS Video</x:v>
      </x:c>
      <x:c r="F190" s="20" t="str">
        <x:v>Perform one final content-consistency check against handout</x:v>
      </x:c>
      <x:c r="G190" s="20" t="str">
        <x:v>Video-handout consistency check</x:v>
      </x:c>
      <x:c r="H190" s="20" t="n">
        <x:v>0.75</x:v>
      </x:c>
      <x:c r="I190" s="20" t="str">
        <x:v>High</x:v>
      </x:c>
      <x:c r="J190" s="20" t="str"/>
      <x:c r="K190" s="20" t="str"/>
      <x:c r="L190" s="20" t="str">
        <x:v>Not Started</x:v>
      </x:c>
      <x:c r="M190" s="20" t="n">
        <x:f>IF(L190="Completed",100,IF(L190="In Progress",50,0))</x:f>
        <x:v>0</x:v>
      </x:c>
      <x:c r="N190" s="20" t="str"/>
      <x:c r="O190" s="20" t="str"/>
      <x:c r="P190" s="20" t="str"/>
      <x:c r="Q190" s="20" t="str">
        <x:f>IF(OR(L190&lt;&gt;"Completed",P190=""),"",IF(P190&lt;4.5,"YES","NO"))</x:f>
      </x:c>
      <x:c r="R190" s="20" t="str"/>
    </x:row>
    <x:row r="191">
      <x:c r="A191" s="20" t="str">
        <x:v>T188</x:v>
      </x:c>
      <x:c r="B191" s="20" t="str">
        <x:v>2026-11-03</x:v>
      </x:c>
      <x:c r="C191" s="20" t="str">
        <x:v>W7</x:v>
      </x:c>
      <x:c r="D191" s="20" t="str">
        <x:v>Supporting / QA</x:v>
      </x:c>
      <x:c r="E191" s="20" t="str">
        <x:v>Project Control</x:v>
      </x:c>
      <x:c r="F191" s="20" t="str">
        <x:v>Check submission instructions and deadline details</x:v>
      </x:c>
      <x:c r="G191" s="20" t="str">
        <x:v>Deadline compliance check</x:v>
      </x:c>
      <x:c r="H191" s="20" t="n">
        <x:v>0.75</x:v>
      </x:c>
      <x:c r="I191" s="20" t="str">
        <x:v>High</x:v>
      </x:c>
      <x:c r="J191" s="20" t="str"/>
      <x:c r="K191" s="20" t="str"/>
      <x:c r="L191" s="20" t="str">
        <x:v>Not Started</x:v>
      </x:c>
      <x:c r="M191" s="20" t="n">
        <x:f>IF(L191="Completed",100,IF(L191="In Progress",50,0))</x:f>
        <x:v>0</x:v>
      </x:c>
      <x:c r="N191" s="20" t="str"/>
      <x:c r="O191" s="20" t="str"/>
      <x:c r="P191" s="20" t="str"/>
      <x:c r="Q191" s="20" t="str">
        <x:f>IF(OR(L191&lt;&gt;"Completed",P191=""),"",IF(P191&lt;4.5,"YES","NO"))</x:f>
      </x:c>
      <x:c r="R191" s="20" t="str"/>
    </x:row>
    <x:row r="192">
      <x:c r="A192" s="20" t="str">
        <x:v>T189</x:v>
      </x:c>
      <x:c r="B192" s="20" t="str">
        <x:v>2026-11-03</x:v>
      </x:c>
      <x:c r="C192" s="20" t="str">
        <x:v>W7</x:v>
      </x:c>
      <x:c r="D192" s="20" t="str">
        <x:v>Supporting / QA</x:v>
      </x:c>
      <x:c r="E192" s="20" t="str">
        <x:v>Project Control</x:v>
      </x:c>
      <x:c r="F192" s="20" t="str">
        <x:v>Create submission backup copy in a second location</x:v>
      </x:c>
      <x:c r="G192" s="20" t="str">
        <x:v>Backup copy</x:v>
      </x:c>
      <x:c r="H192" s="20" t="n">
        <x:v>0.5</x:v>
      </x:c>
      <x:c r="I192" s="20" t="str">
        <x:v>High</x:v>
      </x:c>
      <x:c r="J192" s="20" t="str"/>
      <x:c r="K192" s="20" t="str"/>
      <x:c r="L192" s="20" t="str">
        <x:v>Not Started</x:v>
      </x:c>
      <x:c r="M192" s="20" t="n">
        <x:f>IF(L192="Completed",100,IF(L192="In Progress",50,0))</x:f>
        <x:v>0</x:v>
      </x:c>
      <x:c r="N192" s="20" t="str"/>
      <x:c r="O192" s="20" t="str"/>
      <x:c r="P192" s="20" t="str"/>
      <x:c r="Q192" s="20" t="str">
        <x:f>IF(OR(L192&lt;&gt;"Completed",P192=""),"",IF(P192&lt;4.5,"YES","NO"))</x:f>
      </x:c>
      <x:c r="R192" s="20" t="str"/>
    </x:row>
    <x:row r="193">
      <x:c r="A193" s="20" t="str">
        <x:v>T190</x:v>
      </x:c>
      <x:c r="B193" s="20" t="str">
        <x:v>2026-11-04</x:v>
      </x:c>
      <x:c r="C193" s="20" t="str">
        <x:v>W7</x:v>
      </x:c>
      <x:c r="D193" s="20" t="str">
        <x:v>3. PPRS Handout</x:v>
      </x:c>
      <x:c r="E193" s="20" t="str">
        <x:v>PPRS Handout</x:v>
      </x:c>
      <x:c r="F193" s="20" t="str">
        <x:v>Freeze final handout PDF/export</x:v>
      </x:c>
      <x:c r="G193" s="20" t="str">
        <x:v>Final handout</x:v>
      </x:c>
      <x:c r="H193" s="20" t="n">
        <x:v>0.75</x:v>
      </x:c>
      <x:c r="I193" s="20" t="str">
        <x:v>High</x:v>
      </x:c>
      <x:c r="J193" s="20" t="str"/>
      <x:c r="K193" s="20" t="str">
        <x:v>Handout complete</x:v>
      </x:c>
      <x:c r="L193" s="20" t="str">
        <x:v>Not Started</x:v>
      </x:c>
      <x:c r="M193" s="20" t="n">
        <x:f>IF(L193="Completed",100,IF(L193="In Progress",50,0))</x:f>
        <x:v>0</x:v>
      </x:c>
      <x:c r="N193" s="20" t="str"/>
      <x:c r="O193" s="20" t="str"/>
      <x:c r="P193" s="20" t="str"/>
      <x:c r="Q193" s="20" t="str">
        <x:f>IF(OR(L193&lt;&gt;"Completed",P193=""),"",IF(P193&lt;4.5,"YES","NO"))</x:f>
      </x:c>
      <x:c r="R193" s="20" t="str"/>
    </x:row>
    <x:row r="194">
      <x:c r="A194" s="20" t="str">
        <x:v>T191</x:v>
      </x:c>
      <x:c r="B194" s="20" t="str">
        <x:v>2026-11-04</x:v>
      </x:c>
      <x:c r="C194" s="20" t="str">
        <x:v>W7</x:v>
      </x:c>
      <x:c r="D194" s="20" t="str">
        <x:v>5. Recorded Video</x:v>
      </x:c>
      <x:c r="E194" s="20" t="str">
        <x:v>PPRS Video</x:v>
      </x:c>
      <x:c r="F194" s="20" t="str">
        <x:v>Freeze final recorded video</x:v>
      </x:c>
      <x:c r="G194" s="20" t="str">
        <x:v>Final video</x:v>
      </x:c>
      <x:c r="H194" s="20" t="n">
        <x:v>0.75</x:v>
      </x:c>
      <x:c r="I194" s="20" t="str">
        <x:v>High</x:v>
      </x:c>
      <x:c r="J194" s="20" t="str"/>
      <x:c r="K194" s="20" t="str">
        <x:v>Video complete</x:v>
      </x:c>
      <x:c r="L194" s="20" t="str">
        <x:v>Not Started</x:v>
      </x:c>
      <x:c r="M194" s="20" t="n">
        <x:f>IF(L194="Completed",100,IF(L194="In Progress",50,0))</x:f>
        <x:v>0</x:v>
      </x:c>
      <x:c r="N194" s="20" t="str"/>
      <x:c r="O194" s="20" t="str"/>
      <x:c r="P194" s="20" t="str"/>
      <x:c r="Q194" s="20" t="str">
        <x:f>IF(OR(L194&lt;&gt;"Completed",P194=""),"",IF(P194&lt;4.5,"YES","NO"))</x:f>
      </x:c>
      <x:c r="R194" s="20" t="str"/>
    </x:row>
    <x:row r="195">
      <x:c r="A195" s="20" t="str">
        <x:v>T192</x:v>
      </x:c>
      <x:c r="B195" s="20" t="str">
        <x:v>2026-11-04</x:v>
      </x:c>
      <x:c r="C195" s="20" t="str">
        <x:v>W7</x:v>
      </x:c>
      <x:c r="D195" s="20" t="str">
        <x:v>Supporting / QA</x:v>
      </x:c>
      <x:c r="E195" s="20" t="str">
        <x:v>Project Control</x:v>
      </x:c>
      <x:c r="F195" s="20" t="str">
        <x:v>Assemble final submission package</x:v>
      </x:c>
      <x:c r="G195" s="20" t="str">
        <x:v>Final submission package</x:v>
      </x:c>
      <x:c r="H195" s="20" t="n">
        <x:v>0.75</x:v>
      </x:c>
      <x:c r="I195" s="20" t="str">
        <x:v>High</x:v>
      </x:c>
      <x:c r="J195" s="20" t="str"/>
      <x:c r="K195" s="20" t="str"/>
      <x:c r="L195" s="20" t="str">
        <x:v>Not Started</x:v>
      </x:c>
      <x:c r="M195" s="20" t="n">
        <x:f>IF(L195="Completed",100,IF(L195="In Progress",50,0))</x:f>
        <x:v>0</x:v>
      </x:c>
      <x:c r="N195" s="20" t="str"/>
      <x:c r="O195" s="20" t="str"/>
      <x:c r="P195" s="20" t="str"/>
      <x:c r="Q195" s="20" t="str">
        <x:f>IF(OR(L195&lt;&gt;"Completed",P195=""),"",IF(P195&lt;4.5,"YES","NO"))</x:f>
      </x:c>
      <x:c r="R195" s="20" t="str"/>
    </x:row>
    <x:row r="196">
      <x:c r="A196" s="20" t="str">
        <x:v>T193</x:v>
      </x:c>
      <x:c r="B196" s="20" t="str">
        <x:v>2026-11-04</x:v>
      </x:c>
      <x:c r="C196" s="20" t="str">
        <x:v>W7</x:v>
      </x:c>
      <x:c r="D196" s="20" t="str">
        <x:v>Supporting / QA</x:v>
      </x:c>
      <x:c r="E196" s="20" t="str">
        <x:v>Project Control</x:v>
      </x:c>
      <x:c r="F196" s="20" t="str">
        <x:v>Run final completeness checklist against all PPRS deliverables</x:v>
      </x:c>
      <x:c r="G196" s="20" t="str">
        <x:v>Final completeness checklist</x:v>
      </x:c>
      <x:c r="H196" s="20" t="n">
        <x:v>0.75</x:v>
      </x:c>
      <x:c r="I196" s="20" t="str">
        <x:v>High</x:v>
      </x:c>
      <x:c r="J196" s="20" t="str"/>
      <x:c r="K196" s="20" t="str"/>
      <x:c r="L196" s="20" t="str">
        <x:v>Not Started</x:v>
      </x:c>
      <x:c r="M196" s="20" t="n">
        <x:f>IF(L196="Completed",100,IF(L196="In Progress",50,0))</x:f>
        <x:v>0</x:v>
      </x:c>
      <x:c r="N196" s="20" t="str"/>
      <x:c r="O196" s="20" t="str"/>
      <x:c r="P196" s="20" t="str"/>
      <x:c r="Q196" s="20" t="str">
        <x:f>IF(OR(L196&lt;&gt;"Completed",P196=""),"",IF(P196&lt;4.5,"YES","NO"))</x:f>
      </x:c>
      <x:c r="R196" s="20" t="str"/>
    </x:row>
    <x:row r="197">
      <x:c r="A197" s="20" t="str">
        <x:v>T194</x:v>
      </x:c>
      <x:c r="B197" s="20" t="str">
        <x:v>2026-11-05</x:v>
      </x:c>
      <x:c r="C197" s="20" t="str">
        <x:v>W7</x:v>
      </x:c>
      <x:c r="D197" s="20" t="str">
        <x:v>6. Live Presentation</x:v>
      </x:c>
      <x:c r="E197" s="20" t="str">
        <x:v>Live Presentation</x:v>
      </x:c>
      <x:c r="F197" s="20" t="str">
        <x:v>Create post-deadline live-presentation issue list from likely viva questions</x:v>
      </x:c>
      <x:c r="G197" s="20" t="str">
        <x:v>Live presentation issue list</x:v>
      </x:c>
      <x:c r="H197" s="20" t="n">
        <x:v>0.5</x:v>
      </x:c>
      <x:c r="I197" s="20" t="str">
        <x:v>High</x:v>
      </x:c>
      <x:c r="J197" s="20" t="str"/>
      <x:c r="K197" s="20" t="str"/>
      <x:c r="L197" s="20" t="str">
        <x:v>Not Started</x:v>
      </x:c>
      <x:c r="M197" s="20" t="n">
        <x:f>IF(L197="Completed",100,IF(L197="In Progress",50,0))</x:f>
        <x:v>0</x:v>
      </x:c>
      <x:c r="N197" s="20" t="str"/>
      <x:c r="O197" s="20" t="str"/>
      <x:c r="P197" s="20" t="str"/>
      <x:c r="Q197" s="20" t="str">
        <x:f>IF(OR(L197&lt;&gt;"Completed",P197=""),"",IF(P197&lt;4.5,"YES","NO"))</x:f>
      </x:c>
      <x:c r="R197" s="20" t="str"/>
    </x:row>
    <x:row r="198">
      <x:c r="A198" s="20" t="str">
        <x:v>T195</x:v>
      </x:c>
      <x:c r="B198" s="20" t="str">
        <x:v>2026-11-05</x:v>
      </x:c>
      <x:c r="C198" s="20" t="str">
        <x:v>W7</x:v>
      </x:c>
      <x:c r="D198" s="20" t="str">
        <x:v>Supporting / QA</x:v>
      </x:c>
      <x:c r="E198" s="20" t="str">
        <x:v>Project Control</x:v>
      </x:c>
      <x:c r="F198" s="20" t="str">
        <x:v>Archive submitted artefacts and receipts</x:v>
      </x:c>
      <x:c r="G198" s="20" t="str">
        <x:v>Submission archive</x:v>
      </x:c>
      <x:c r="H198" s="20" t="n">
        <x:v>0.5</x:v>
      </x:c>
      <x:c r="I198" s="20" t="str">
        <x:v>High</x:v>
      </x:c>
      <x:c r="J198" s="20" t="str"/>
      <x:c r="K198" s="20" t="str"/>
      <x:c r="L198" s="20" t="str">
        <x:v>Not Started</x:v>
      </x:c>
      <x:c r="M198" s="20" t="n">
        <x:f>IF(L198="Completed",100,IF(L198="In Progress",50,0))</x:f>
        <x:v>0</x:v>
      </x:c>
      <x:c r="N198" s="20" t="str"/>
      <x:c r="O198" s="20" t="str"/>
      <x:c r="P198" s="20" t="str"/>
      <x:c r="Q198" s="20" t="str">
        <x:f>IF(OR(L198&lt;&gt;"Completed",P198=""),"",IF(P198&lt;4.5,"YES","NO"))</x:f>
      </x:c>
      <x:c r="R198" s="20" t="str"/>
    </x:row>
    <x:row r="199">
      <x:c r="A199" s="20" t="str">
        <x:v>T196</x:v>
      </x:c>
      <x:c r="B199" s="20" t="str">
        <x:v>2026-11-05</x:v>
      </x:c>
      <x:c r="C199" s="20" t="str">
        <x:v>W7</x:v>
      </x:c>
      <x:c r="D199" s="20" t="str">
        <x:v>Supporting / QA</x:v>
      </x:c>
      <x:c r="E199" s="20" t="str">
        <x:v>Project Control</x:v>
      </x:c>
      <x:c r="F199" s="20" t="str">
        <x:v>Submit PPRS handout</x:v>
      </x:c>
      <x:c r="G199" s="20" t="str">
        <x:v>Submission receipt: handout</x:v>
      </x:c>
      <x:c r="H199" s="20" t="n">
        <x:v>0.5</x:v>
      </x:c>
      <x:c r="I199" s="20" t="str">
        <x:v>High</x:v>
      </x:c>
      <x:c r="J199" s="20" t="str"/>
      <x:c r="K199" s="20" t="str">
        <x:v>PPRS submitted</x:v>
      </x:c>
      <x:c r="L199" s="20" t="str">
        <x:v>Not Started</x:v>
      </x:c>
      <x:c r="M199" s="20" t="n">
        <x:f>IF(L199="Completed",100,IF(L199="In Progress",50,0))</x:f>
        <x:v>0</x:v>
      </x:c>
      <x:c r="N199" s="20" t="str"/>
      <x:c r="O199" s="20" t="str"/>
      <x:c r="P199" s="20" t="str"/>
      <x:c r="Q199" s="20" t="str">
        <x:f>IF(OR(L199&lt;&gt;"Completed",P199=""),"",IF(P199&lt;4.5,"YES","NO"))</x:f>
      </x:c>
      <x:c r="R199" s="20" t="str"/>
    </x:row>
    <x:row r="200">
      <x:c r="A200" s="20" t="str">
        <x:v>T197</x:v>
      </x:c>
      <x:c r="B200" s="20" t="str">
        <x:v>2026-11-05</x:v>
      </x:c>
      <x:c r="C200" s="20" t="str">
        <x:v>W7</x:v>
      </x:c>
      <x:c r="D200" s="20" t="str">
        <x:v>Supporting / QA</x:v>
      </x:c>
      <x:c r="E200" s="20" t="str">
        <x:v>Project Control</x:v>
      </x:c>
      <x:c r="F200" s="20" t="str">
        <x:v>Submit recorded PPRS video</x:v>
      </x:c>
      <x:c r="G200" s="20" t="str">
        <x:v>Submission receipt: video</x:v>
      </x:c>
      <x:c r="H200" s="20" t="n">
        <x:v>0.5</x:v>
      </x:c>
      <x:c r="I200" s="20" t="str">
        <x:v>High</x:v>
      </x:c>
      <x:c r="J200" s="20" t="str"/>
      <x:c r="K200" s="20" t="str">
        <x:v>PPRS submitted</x:v>
      </x:c>
      <x:c r="L200" s="20" t="str">
        <x:v>Not Started</x:v>
      </x:c>
      <x:c r="M200" s="20" t="n">
        <x:f>IF(L200="Completed",100,IF(L200="In Progress",50,0))</x:f>
        <x:v>0</x:v>
      </x:c>
      <x:c r="N200" s="20" t="str"/>
      <x:c r="O200" s="20" t="str"/>
      <x:c r="P200" s="20" t="str"/>
      <x:c r="Q200" s="20" t="str">
        <x:f>IF(OR(L200&lt;&gt;"Completed",P200=""),"",IF(P200&lt;4.5,"YES","NO"))</x:f>
      </x:c>
      <x:c r="R200" s="20" t="str"/>
    </x:row>
    <x:row r="201">
      <x:c r="A201" s="20" t="str">
        <x:v>T198</x:v>
      </x:c>
      <x:c r="B201" s="20" t="str">
        <x:v>2026-11-05</x:v>
      </x:c>
      <x:c r="C201" s="20" t="str">
        <x:v>W7</x:v>
      </x:c>
      <x:c r="D201" s="20" t="str">
        <x:v>Supporting / QA</x:v>
      </x:c>
      <x:c r="E201" s="20" t="str">
        <x:v>Project Control</x:v>
      </x:c>
      <x:c r="F201" s="20" t="str">
        <x:v>Verify submission portal/access before uploading</x:v>
      </x:c>
      <x:c r="G201" s="20" t="str">
        <x:v>Submission access check</x:v>
      </x:c>
      <x:c r="H201" s="20" t="n">
        <x:v>0.5</x:v>
      </x:c>
      <x:c r="I201" s="20" t="str">
        <x:v>High</x:v>
      </x:c>
      <x:c r="J201" s="20" t="str"/>
      <x:c r="K201" s="20" t="str"/>
      <x:c r="L201" s="20" t="str">
        <x:v>Not Started</x:v>
      </x:c>
      <x:c r="M201" s="20" t="n">
        <x:f>IF(L201="Completed",100,IF(L201="In Progress",50,0))</x:f>
        <x:v>0</x:v>
      </x:c>
      <x:c r="N201" s="20" t="str"/>
      <x:c r="O201" s="20" t="str"/>
      <x:c r="P201" s="20" t="str"/>
      <x:c r="Q201" s="20" t="str">
        <x:f>IF(OR(L201&lt;&gt;"Completed",P201=""),"",IF(P201&lt;4.5,"YES","NO"))</x:f>
      </x:c>
      <x:c r="R201" s="20" t="str"/>
    </x:row>
    <x:row r="202">
      <x:c r="A202" s="20" t="str">
        <x:v>T199</x:v>
      </x:c>
      <x:c r="B202" s="20" t="str">
        <x:v>2026-11-05</x:v>
      </x:c>
      <x:c r="C202" s="20" t="str">
        <x:v>W7</x:v>
      </x:c>
      <x:c r="D202" s="20" t="str">
        <x:v>Supporting / QA</x:v>
      </x:c>
      <x:c r="E202" s="20" t="str">
        <x:v>Project Control</x:v>
      </x:c>
      <x:c r="F202" s="20" t="str">
        <x:v>Verify uploaded files are readable after submission</x:v>
      </x:c>
      <x:c r="G202" s="20" t="str">
        <x:v>Post-upload verification</x:v>
      </x:c>
      <x:c r="H202" s="20" t="n">
        <x:v>0.5</x:v>
      </x:c>
      <x:c r="I202" s="20" t="str">
        <x:v>High</x:v>
      </x:c>
      <x:c r="J202" s="20" t="str"/>
      <x:c r="K202" s="20" t="str"/>
      <x:c r="L202" s="20" t="str">
        <x:v>Not Started</x:v>
      </x:c>
      <x:c r="M202" s="20" t="n">
        <x:f>IF(L202="Completed",100,IF(L202="In Progress",50,0))</x:f>
        <x:v>0</x:v>
      </x:c>
      <x:c r="N202" s="20" t="str"/>
      <x:c r="O202" s="20" t="str"/>
      <x:c r="P202" s="20" t="str"/>
      <x:c r="Q202" s="20" t="str">
        <x:f>IF(OR(L202&lt;&gt;"Completed",P202=""),"",IF(P202&lt;4.5,"YES","NO"))</x:f>
      </x:c>
      <x:c r="R202" s="20" t="str"/>
    </x:row>
    <x:row r="203">
      <x:c r="A203" s="20" t="str">
        <x:v>T200</x:v>
      </x:c>
      <x:c r="B203" s="20" t="str">
        <x:v>2026-11-06</x:v>
      </x:c>
      <x:c r="C203" s="20" t="str">
        <x:v>Post-PPRS</x:v>
      </x:c>
      <x:c r="D203" s="20" t="str">
        <x:v>6. Live Presentation</x:v>
      </x:c>
      <x:c r="E203" s="20" t="str">
        <x:v>Live Presentation</x:v>
      </x:c>
      <x:c r="F203" s="20" t="str">
        <x:v>Add backup slides for datasets, gaps, baselines, ablations and PoC</x:v>
      </x:c>
      <x:c r="G203" s="20" t="str">
        <x:v>Backup slides</x:v>
      </x:c>
      <x:c r="H203" s="20" t="n">
        <x:v>1</x:v>
      </x:c>
      <x:c r="I203" s="20" t="str">
        <x:v>High</x:v>
      </x:c>
      <x:c r="J203" s="20" t="str"/>
      <x:c r="K203" s="20" t="str"/>
      <x:c r="L203" s="20" t="str">
        <x:v>Not Started</x:v>
      </x:c>
      <x:c r="M203" s="20" t="n">
        <x:f>IF(L203="Completed",100,IF(L203="In Progress",50,0))</x:f>
        <x:v>0</x:v>
      </x:c>
      <x:c r="N203" s="20" t="str"/>
      <x:c r="O203" s="20" t="str"/>
      <x:c r="P203" s="20" t="str"/>
      <x:c r="Q203" s="20" t="str">
        <x:f>IF(OR(L203&lt;&gt;"Completed",P203=""),"",IF(P203&lt;4.5,"YES","NO"))</x:f>
      </x:c>
      <x:c r="R203" s="20" t="str"/>
    </x:row>
    <x:row r="204">
      <x:c r="A204" s="20" t="str">
        <x:v>T201</x:v>
      </x:c>
      <x:c r="B204" s="20" t="str">
        <x:v>2026-11-06</x:v>
      </x:c>
      <x:c r="C204" s="20" t="str">
        <x:v>Post-PPRS</x:v>
      </x:c>
      <x:c r="D204" s="20" t="str">
        <x:v>6. Live Presentation</x:v>
      </x:c>
      <x:c r="E204" s="20" t="str">
        <x:v>Live Presentation</x:v>
      </x:c>
      <x:c r="F204" s="20" t="str">
        <x:v>Convert recorded-video slides into live-presentation slides</x:v>
      </x:c>
      <x:c r="G204" s="20" t="str">
        <x:v>Live slide deck v0.8</x:v>
      </x:c>
      <x:c r="H204" s="20" t="n">
        <x:v>1</x:v>
      </x:c>
      <x:c r="I204" s="20" t="str">
        <x:v>High</x:v>
      </x:c>
      <x:c r="J204" s="20" t="str"/>
      <x:c r="K204" s="20" t="str"/>
      <x:c r="L204" s="20" t="str">
        <x:v>Not Started</x:v>
      </x:c>
      <x:c r="M204" s="20" t="n">
        <x:f>IF(L204="Completed",100,IF(L204="In Progress",50,0))</x:f>
        <x:v>0</x:v>
      </x:c>
      <x:c r="N204" s="20" t="str"/>
      <x:c r="O204" s="20" t="str"/>
      <x:c r="P204" s="20" t="str"/>
      <x:c r="Q204" s="20" t="str">
        <x:f>IF(OR(L204&lt;&gt;"Completed",P204=""),"",IF(P204&lt;4.5,"YES","NO"))</x:f>
      </x:c>
      <x:c r="R204" s="20" t="str"/>
    </x:row>
    <x:row r="205">
      <x:c r="A205" s="20" t="str">
        <x:v>T202</x:v>
      </x:c>
      <x:c r="B205" s="20" t="str">
        <x:v>2026-11-06</x:v>
      </x:c>
      <x:c r="C205" s="20" t="str">
        <x:v>Post-PPRS</x:v>
      </x:c>
      <x:c r="D205" s="20" t="str">
        <x:v>6. Live Presentation</x:v>
      </x:c>
      <x:c r="E205" s="20" t="str">
        <x:v>Live Presentation</x:v>
      </x:c>
      <x:c r="F205" s="20" t="str">
        <x:v>Prepare answers to 10 likely examiner questions</x:v>
      </x:c>
      <x:c r="G205" s="20" t="str">
        <x:v>Q&amp;A bank 1</x:v>
      </x:c>
      <x:c r="H205" s="20" t="n">
        <x:v>1</x:v>
      </x:c>
      <x:c r="I205" s="20" t="str">
        <x:v>High</x:v>
      </x:c>
      <x:c r="J205" s="20" t="str"/>
      <x:c r="K205" s="20" t="str"/>
      <x:c r="L205" s="20" t="str">
        <x:v>Not Started</x:v>
      </x:c>
      <x:c r="M205" s="20" t="n">
        <x:f>IF(L205="Completed",100,IF(L205="In Progress",50,0))</x:f>
        <x:v>0</x:v>
      </x:c>
      <x:c r="N205" s="20" t="str"/>
      <x:c r="O205" s="20" t="str"/>
      <x:c r="P205" s="20" t="str"/>
      <x:c r="Q205" s="20" t="str">
        <x:f>IF(OR(L205&lt;&gt;"Completed",P205=""),"",IF(P205&lt;4.5,"YES","NO"))</x:f>
      </x:c>
      <x:c r="R205" s="20" t="str"/>
    </x:row>
    <x:row r="206">
      <x:c r="A206" s="20" t="str">
        <x:v>T203</x:v>
      </x:c>
      <x:c r="B206" s="20" t="str">
        <x:v>2026-11-07</x:v>
      </x:c>
      <x:c r="C206" s="20" t="str">
        <x:v>Post-PPRS</x:v>
      </x:c>
      <x:c r="D206" s="20" t="str">
        <x:v>6. Live Presentation</x:v>
      </x:c>
      <x:c r="E206" s="20" t="str">
        <x:v>Live Presentation</x:v>
      </x:c>
      <x:c r="F206" s="20" t="str">
        <x:v>Prepare answers to dataset and feasibility questions</x:v>
      </x:c>
      <x:c r="G206" s="20" t="str">
        <x:v>Q&amp;A bank 2</x:v>
      </x:c>
      <x:c r="H206" s="20" t="n">
        <x:v>1</x:v>
      </x:c>
      <x:c r="I206" s="20" t="str">
        <x:v>High</x:v>
      </x:c>
      <x:c r="J206" s="20" t="str"/>
      <x:c r="K206" s="20" t="str"/>
      <x:c r="L206" s="20" t="str">
        <x:v>Not Started</x:v>
      </x:c>
      <x:c r="M206" s="20" t="n">
        <x:f>IF(L206="Completed",100,IF(L206="In Progress",50,0))</x:f>
        <x:v>0</x:v>
      </x:c>
      <x:c r="N206" s="20" t="str"/>
      <x:c r="O206" s="20" t="str"/>
      <x:c r="P206" s="20" t="str"/>
      <x:c r="Q206" s="20" t="str">
        <x:f>IF(OR(L206&lt;&gt;"Completed",P206=""),"",IF(P206&lt;4.5,"YES","NO"))</x:f>
      </x:c>
      <x:c r="R206" s="20" t="str"/>
    </x:row>
    <x:row r="207">
      <x:c r="A207" s="20" t="str">
        <x:v>T204</x:v>
      </x:c>
      <x:c r="B207" s="20" t="str">
        <x:v>2026-11-07</x:v>
      </x:c>
      <x:c r="C207" s="20" t="str">
        <x:v>Post-PPRS</x:v>
      </x:c>
      <x:c r="D207" s="20" t="str">
        <x:v>6. Live Presentation</x:v>
      </x:c>
      <x:c r="E207" s="20" t="str">
        <x:v>Live Presentation</x:v>
      </x:c>
      <x:c r="F207" s="20" t="str">
        <x:v>Revise slides after rehearsal defects</x:v>
      </x:c>
      <x:c r="G207" s="20" t="str">
        <x:v>Live slide deck v0.9</x:v>
      </x:c>
      <x:c r="H207" s="20" t="n">
        <x:v>1</x:v>
      </x:c>
      <x:c r="I207" s="20" t="str">
        <x:v>High</x:v>
      </x:c>
      <x:c r="J207" s="20" t="str"/>
      <x:c r="K207" s="20" t="str"/>
      <x:c r="L207" s="20" t="str">
        <x:v>Not Started</x:v>
      </x:c>
      <x:c r="M207" s="20" t="n">
        <x:f>IF(L207="Completed",100,IF(L207="In Progress",50,0))</x:f>
        <x:v>0</x:v>
      </x:c>
      <x:c r="N207" s="20" t="str"/>
      <x:c r="O207" s="20" t="str"/>
      <x:c r="P207" s="20" t="str"/>
      <x:c r="Q207" s="20" t="str">
        <x:f>IF(OR(L207&lt;&gt;"Completed",P207=""),"",IF(P207&lt;4.5,"YES","NO"))</x:f>
      </x:c>
      <x:c r="R207" s="20" t="str"/>
    </x:row>
    <x:row r="208">
      <x:c r="A208" s="20" t="str">
        <x:v>T205</x:v>
      </x:c>
      <x:c r="B208" s="20" t="str">
        <x:v>2026-11-07</x:v>
      </x:c>
      <x:c r="C208" s="20" t="str">
        <x:v>Post-PPRS</x:v>
      </x:c>
      <x:c r="D208" s="20" t="str">
        <x:v>6. Live Presentation</x:v>
      </x:c>
      <x:c r="E208" s="20" t="str">
        <x:v>Live Presentation</x:v>
      </x:c>
      <x:c r="F208" s="20" t="str">
        <x:v>Run first timed live presentation rehearsal</x:v>
      </x:c>
      <x:c r="G208" s="20" t="str">
        <x:v>Rehearsal 1</x:v>
      </x:c>
      <x:c r="H208" s="20" t="n">
        <x:v>1</x:v>
      </x:c>
      <x:c r="I208" s="20" t="str">
        <x:v>High</x:v>
      </x:c>
      <x:c r="J208" s="20" t="str"/>
      <x:c r="K208" s="20" t="str"/>
      <x:c r="L208" s="20" t="str">
        <x:v>Not Started</x:v>
      </x:c>
      <x:c r="M208" s="20" t="n">
        <x:f>IF(L208="Completed",100,IF(L208="In Progress",50,0))</x:f>
        <x:v>0</x:v>
      </x:c>
      <x:c r="N208" s="20" t="str"/>
      <x:c r="O208" s="20" t="str"/>
      <x:c r="P208" s="20" t="str"/>
      <x:c r="Q208" s="20" t="str">
        <x:f>IF(OR(L208&lt;&gt;"Completed",P208=""),"",IF(P208&lt;4.5,"YES","NO"))</x:f>
      </x:c>
      <x:c r="R208" s="20" t="str"/>
    </x:row>
    <x:row r="209">
      <x:c r="A209" s="20" t="str">
        <x:v>T206</x:v>
      </x:c>
      <x:c r="B209" s="20" t="str">
        <x:v>2026-11-07</x:v>
      </x:c>
      <x:c r="C209" s="20" t="str">
        <x:v>Post-PPRS</x:v>
      </x:c>
      <x:c r="D209" s="20" t="str">
        <x:v>6. Live Presentation</x:v>
      </x:c>
      <x:c r="E209" s="20" t="str">
        <x:v>Live Presentation</x:v>
      </x:c>
      <x:c r="F209" s="20" t="str">
        <x:v>Run mock Q&amp;A focused on novelty and contribution</x:v>
      </x:c>
      <x:c r="G209" s="20" t="str">
        <x:v>Mock viva 1</x:v>
      </x:c>
      <x:c r="H209" s="20" t="n">
        <x:v>1</x:v>
      </x:c>
      <x:c r="I209" s="20" t="str">
        <x:v>High</x:v>
      </x:c>
      <x:c r="J209" s="20" t="str"/>
      <x:c r="K209" s="20" t="str"/>
      <x:c r="L209" s="20" t="str">
        <x:v>Not Started</x:v>
      </x:c>
      <x:c r="M209" s="20" t="n">
        <x:f>IF(L209="Completed",100,IF(L209="In Progress",50,0))</x:f>
        <x:v>0</x:v>
      </x:c>
      <x:c r="N209" s="20" t="str"/>
      <x:c r="O209" s="20" t="str"/>
      <x:c r="P209" s="20" t="str"/>
      <x:c r="Q209" s="20" t="str">
        <x:f>IF(OR(L209&lt;&gt;"Completed",P209=""),"",IF(P209&lt;4.5,"YES","NO"))</x:f>
      </x:c>
      <x:c r="R209" s="20" t="str"/>
    </x:row>
    <x:row r="210">
      <x:c r="A210" s="20" t="str">
        <x:v>T207</x:v>
      </x:c>
      <x:c r="B210" s="20" t="str">
        <x:v>2026-11-08</x:v>
      </x:c>
      <x:c r="C210" s="20" t="str">
        <x:v>Post-PPRS</x:v>
      </x:c>
      <x:c r="D210" s="20" t="str">
        <x:v>6. Live Presentation</x:v>
      </x:c>
      <x:c r="E210" s="20" t="str">
        <x:v>Live Presentation</x:v>
      </x:c>
      <x:c r="F210" s="20" t="str">
        <x:v>Finalise live slide deck</x:v>
      </x:c>
      <x:c r="G210" s="20" t="str">
        <x:v>Live slide deck v1.0</x:v>
      </x:c>
      <x:c r="H210" s="20" t="n">
        <x:v>1</x:v>
      </x:c>
      <x:c r="I210" s="20" t="str">
        <x:v>High</x:v>
      </x:c>
      <x:c r="J210" s="20" t="str"/>
      <x:c r="K210" s="20" t="str"/>
      <x:c r="L210" s="20" t="str">
        <x:v>Not Started</x:v>
      </x:c>
      <x:c r="M210" s="20" t="n">
        <x:f>IF(L210="Completed",100,IF(L210="In Progress",50,0))</x:f>
        <x:v>0</x:v>
      </x:c>
      <x:c r="N210" s="20" t="str"/>
      <x:c r="O210" s="20" t="str"/>
      <x:c r="P210" s="20" t="str"/>
      <x:c r="Q210" s="20" t="str">
        <x:f>IF(OR(L210&lt;&gt;"Completed",P210=""),"",IF(P210&lt;4.5,"YES","NO"))</x:f>
      </x:c>
      <x:c r="R210" s="20" t="str"/>
    </x:row>
    <x:row r="211">
      <x:c r="A211" s="20" t="str">
        <x:v>T208</x:v>
      </x:c>
      <x:c r="B211" s="20" t="str">
        <x:v>2026-11-08</x:v>
      </x:c>
      <x:c r="C211" s="20" t="str">
        <x:v>Post-PPRS</x:v>
      </x:c>
      <x:c r="D211" s="20" t="str">
        <x:v>6. Live Presentation</x:v>
      </x:c>
      <x:c r="E211" s="20" t="str">
        <x:v>Live Presentation</x:v>
      </x:c>
      <x:c r="F211" s="20" t="str">
        <x:v>Prepare 30-second novelty statement</x:v>
      </x:c>
      <x:c r="G211" s="20" t="str">
        <x:v>30-second novelty statement</x:v>
      </x:c>
      <x:c r="H211" s="20" t="n">
        <x:v>0.5</x:v>
      </x:c>
      <x:c r="I211" s="20" t="str">
        <x:v>High</x:v>
      </x:c>
      <x:c r="J211" s="20" t="str"/>
      <x:c r="K211" s="20" t="str"/>
      <x:c r="L211" s="20" t="str">
        <x:v>Not Started</x:v>
      </x:c>
      <x:c r="M211" s="20" t="n">
        <x:f>IF(L211="Completed",100,IF(L211="In Progress",50,0))</x:f>
        <x:v>0</x:v>
      </x:c>
      <x:c r="N211" s="20" t="str"/>
      <x:c r="O211" s="20" t="str"/>
      <x:c r="P211" s="20" t="str"/>
      <x:c r="Q211" s="20" t="str">
        <x:f>IF(OR(L211&lt;&gt;"Completed",P211=""),"",IF(P211&lt;4.5,"YES","NO"))</x:f>
      </x:c>
      <x:c r="R211" s="20" t="str"/>
    </x:row>
    <x:row r="212">
      <x:c r="A212" s="20" t="str">
        <x:v>T209</x:v>
      </x:c>
      <x:c r="B212" s="20" t="str">
        <x:v>2026-11-08</x:v>
      </x:c>
      <x:c r="C212" s="20" t="str">
        <x:v>Post-PPRS</x:v>
      </x:c>
      <x:c r="D212" s="20" t="str">
        <x:v>6. Live Presentation</x:v>
      </x:c>
      <x:c r="E212" s="20" t="str">
        <x:v>Live Presentation</x:v>
      </x:c>
      <x:c r="F212" s="20" t="str">
        <x:v>Prepare 60-second research summary</x:v>
      </x:c>
      <x:c r="G212" s="20" t="str">
        <x:v>60-second summary</x:v>
      </x:c>
      <x:c r="H212" s="20" t="n">
        <x:v>0.5</x:v>
      </x:c>
      <x:c r="I212" s="20" t="str">
        <x:v>High</x:v>
      </x:c>
      <x:c r="J212" s="20" t="str"/>
      <x:c r="K212" s="20" t="str"/>
      <x:c r="L212" s="20" t="str">
        <x:v>Not Started</x:v>
      </x:c>
      <x:c r="M212" s="20" t="n">
        <x:f>IF(L212="Completed",100,IF(L212="In Progress",50,0))</x:f>
        <x:v>0</x:v>
      </x:c>
      <x:c r="N212" s="20" t="str"/>
      <x:c r="O212" s="20" t="str"/>
      <x:c r="P212" s="20" t="str"/>
      <x:c r="Q212" s="20" t="str">
        <x:f>IF(OR(L212&lt;&gt;"Completed",P212=""),"",IF(P212&lt;4.5,"YES","NO"))</x:f>
      </x:c>
      <x:c r="R212" s="20" t="str"/>
    </x:row>
    <x:row r="213">
      <x:c r="A213" s="20" t="str">
        <x:v>T210</x:v>
      </x:c>
      <x:c r="B213" s="20" t="str">
        <x:v>2026-11-08</x:v>
      </x:c>
      <x:c r="C213" s="20" t="str">
        <x:v>Post-PPRS</x:v>
      </x:c>
      <x:c r="D213" s="20" t="str">
        <x:v>6. Live Presentation</x:v>
      </x:c>
      <x:c r="E213" s="20" t="str">
        <x:v>Live Presentation</x:v>
      </x:c>
      <x:c r="F213" s="20" t="str">
        <x:v>Prepare fallback plan for PoC/demo failure</x:v>
      </x:c>
      <x:c r="G213" s="20" t="str">
        <x:v>Demo fallback plan</x:v>
      </x:c>
      <x:c r="H213" s="20" t="n">
        <x:v>0.5</x:v>
      </x:c>
      <x:c r="I213" s="20" t="str">
        <x:v>High</x:v>
      </x:c>
      <x:c r="J213" s="20" t="str"/>
      <x:c r="K213" s="20" t="str"/>
      <x:c r="L213" s="20" t="str">
        <x:v>Not Started</x:v>
      </x:c>
      <x:c r="M213" s="20" t="n">
        <x:f>IF(L213="Completed",100,IF(L213="In Progress",50,0))</x:f>
        <x:v>0</x:v>
      </x:c>
      <x:c r="N213" s="20" t="str"/>
      <x:c r="O213" s="20" t="str"/>
      <x:c r="P213" s="20" t="str"/>
      <x:c r="Q213" s="20" t="str">
        <x:f>IF(OR(L213&lt;&gt;"Completed",P213=""),"",IF(P213&lt;4.5,"YES","NO"))</x:f>
      </x:c>
      <x:c r="R213" s="20" t="str"/>
    </x:row>
    <x:row r="214">
      <x:c r="A214" s="20" t="str">
        <x:v>T211</x:v>
      </x:c>
      <x:c r="B214" s="20" t="str">
        <x:v>2026-11-08</x:v>
      </x:c>
      <x:c r="C214" s="20" t="str">
        <x:v>Post-PPRS</x:v>
      </x:c>
      <x:c r="D214" s="20" t="str">
        <x:v>6. Live Presentation</x:v>
      </x:c>
      <x:c r="E214" s="20" t="str">
        <x:v>Live Presentation</x:v>
      </x:c>
      <x:c r="F214" s="20" t="str">
        <x:v>Run full mock live presentation with PoC demonstration</x:v>
      </x:c>
      <x:c r="G214" s="20" t="str">
        <x:v>Rehearsal 2</x:v>
      </x:c>
      <x:c r="H214" s="20" t="n">
        <x:v>1.5</x:v>
      </x:c>
      <x:c r="I214" s="20" t="str">
        <x:v>High</x:v>
      </x:c>
      <x:c r="J214" s="20" t="str"/>
      <x:c r="K214" s="20" t="str"/>
      <x:c r="L214" s="20" t="str">
        <x:v>Not Started</x:v>
      </x:c>
      <x:c r="M214" s="20" t="n">
        <x:f>IF(L214="Completed",100,IF(L214="In Progress",50,0))</x:f>
        <x:v>0</x:v>
      </x:c>
      <x:c r="N214" s="20" t="str"/>
      <x:c r="O214" s="20" t="str"/>
      <x:c r="P214" s="20" t="str"/>
      <x:c r="Q214" s="20" t="str">
        <x:f>IF(OR(L214&lt;&gt;"Completed",P214=""),"",IF(P214&lt;4.5,"YES","NO"))</x:f>
      </x:c>
      <x:c r="R214" s="20" t="str"/>
    </x:row>
    <x:row r="215">
      <x:c r="A215" s="20" t="str">
        <x:v>T212</x:v>
      </x:c>
      <x:c r="B215" s="20" t="str">
        <x:v>2026-11-08</x:v>
      </x:c>
      <x:c r="C215" s="20" t="str">
        <x:v>Post-PPRS</x:v>
      </x:c>
      <x:c r="D215" s="20" t="str">
        <x:v>6. Live Presentation</x:v>
      </x:c>
      <x:c r="E215" s="20" t="str">
        <x:v>Live Presentation</x:v>
      </x:c>
      <x:c r="F215" s="20" t="str">
        <x:v>Run hostile/critical mock viva on novelty, baselines and limitations</x:v>
      </x:c>
      <x:c r="G215" s="20" t="str">
        <x:v>Mock viva 2</x:v>
      </x:c>
      <x:c r="H215" s="20" t="n">
        <x:v>1.5</x:v>
      </x:c>
      <x:c r="I215" s="20" t="str">
        <x:v>High</x:v>
      </x:c>
      <x:c r="J215" s="20" t="str"/>
      <x:c r="K215" s="20" t="str"/>
      <x:c r="L215" s="20" t="str">
        <x:v>Not Started</x:v>
      </x:c>
      <x:c r="M215" s="20" t="n">
        <x:f>IF(L215="Completed",100,IF(L215="In Progress",50,0))</x:f>
        <x:v>0</x:v>
      </x:c>
      <x:c r="N215" s="20" t="str"/>
      <x:c r="O215" s="20" t="str"/>
      <x:c r="P215" s="20" t="str"/>
      <x:c r="Q215" s="20" t="str">
        <x:f>IF(OR(L215&lt;&gt;"Completed",P215=""),"",IF(P215&lt;4.5,"YES","NO"))</x:f>
      </x:c>
      <x:c r="R215" s="20" t="str"/>
    </x:row>
  </x:sheetData>
  <x:mergeCells>
    <x:mergeCell ref="A1:R1"/>
  </x:mergeCells>
  <x:conditionalFormatting sqref="L4:L215">
    <x:cfRule type="expression" dxfId="0" priority="1">
      <x:formula>L4="Completed"</x:formula>
    </x:cfRule>
    <x:cfRule type="expression" dxfId="1" priority="2">
      <x:formula>L4="In Progress"</x:formula>
    </x:cfRule>
    <x:cfRule type="expression" dxfId="2" priority="3">
      <x:formula>L4="Blocked"</x:formula>
    </x:cfRule>
  </x:conditionalFormatting>
  <x:conditionalFormatting sqref="Q4:Q215">
    <x:cfRule type="expression" dxfId="3" priority="4">
      <x:formula>Q4="YES"</x:formula>
    </x:cfRule>
  </x:conditionalFormatting>
  <x:conditionalFormatting sqref="P4:P215">
    <x:cfRule type="expression" dxfId="4" priority="5">
      <x:formula>AND(ISNUMBER(P4),P4&lt;4.5)</x:formula>
    </x:cfRule>
  </x:conditionalFormatting>
  <x:conditionalFormatting sqref="K4:K215">
    <x:cfRule type="expression" dxfId="5" priority="6">
      <x:formula>K4&lt;&gt;""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d2a0064a5745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40" hidden="0" customWidth="1"/>
    <x:col min="6" max="6" width="40" hidden="0" customWidth="1"/>
    <x:col min="7" max="7" width="46" hidden="0" customWidth="1"/>
    <x:col min="8" max="8" width="46" hidden="0" customWidth="1"/>
    <x:col min="9" max="9" width="40" hidden="0" customWidth="1"/>
    <x:col min="10" max="10" width="52" hidden="0" customWidth="1"/>
  </x:cols>
  <x:sheetData>
    <x:row r="1">
      <x:c r="A1" s="3" t="str">
        <x:v>Weekly PPRS Plan — Parallel Workstreams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3" t="str">
        <x:v>Period</x:v>
      </x:c>
      <x:c r="B3" s="13" t="str">
        <x:v>Date Range</x:v>
      </x:c>
      <x:c r="C3" s="13" t="str">
        <x:v>Capacity Hours</x:v>
      </x:c>
      <x:c r="D3" s="13" t="str">
        <x:v>Planned Hours</x:v>
      </x:c>
      <x:c r="E3" s="13" t="str">
        <x:v>LR Focus</x:v>
      </x:c>
      <x:c r="F3" s="13" t="str">
        <x:v>Requirement Focus</x:v>
      </x:c>
      <x:c r="G3" s="13" t="str">
        <x:v>Handout Focus</x:v>
      </x:c>
      <x:c r="H3" s="13" t="str">
        <x:v>PoC Focus</x:v>
      </x:c>
      <x:c r="I3" s="13" t="str">
        <x:v>Video / Live Focus</x:v>
      </x:c>
      <x:c r="J3" s="13" t="str">
        <x:v>Completion Gate</x:v>
      </x:c>
    </x:row>
    <x:row r="4">
      <x:c r="A4" s="20" t="str">
        <x:v>Start</x:v>
      </x:c>
      <x:c r="B4" s="20" t="str">
        <x:v>20 Sep</x:v>
      </x:c>
      <x:c r="C4" s="20" t="str">
        <x:v>8</x:v>
      </x:c>
      <x:c r="D4" s="20" t="str">
        <x:v>8</x:v>
      </x:c>
      <x:c r="E4" s="20" t="str">
        <x:v>Audit current LR; flag unsupported claims</x:v>
      </x:c>
      <x:c r="F4" s="20" t="str">
        <x:v>Identify requirement sources</x:v>
      </x:c>
      <x:c r="G4" s="20" t="str">
        <x:v>Create handout structure; freeze core direction</x:v>
      </x:c>
      <x:c r="H4" s="20" t="str">
        <x:v>Confirm dataset risks and repo setup</x:v>
      </x:c>
      <x:c r="I4" s="20" t="str">
        <x:v>—</x:v>
      </x:c>
      <x:c r="J4" s="20" t="str">
        <x:v>Main gap, sub-gaps and technical contribution provisionally fixed</x:v>
      </x:c>
    </x:row>
    <x:row r="5">
      <x:c r="A5" s="20" t="str">
        <x:v>Week 1</x:v>
      </x:c>
      <x:c r="B5" s="20" t="str">
        <x:v>21–27 Sep</x:v>
      </x:c>
      <x:c r="C5" s="20" t="str">
        <x:v>27</x:v>
      </x:c>
      <x:c r="D5" s="20" t="str">
        <x:v>27</x:v>
      </x:c>
      <x:c r="E5" s="20" t="str">
        <x:v>Add missing recent papers; thematic synthesis</x:v>
      </x:c>
      <x:c r="F5" s="20" t="str">
        <x:v>Elicit and prioritise functional/non-functional requirements</x:v>
      </x:c>
      <x:c r="G5" s="20" t="str">
        <x:v>Draft problem, gap, aim/RQs/objectives</x:v>
      </x:c>
      <x:c r="H5" s="20" t="str">
        <x:v>Data ingestion; returns, volatility, liquidity features</x:v>
      </x:c>
      <x:c r="I5" s="20" t="str">
        <x:v>—</x:v>
      </x:c>
      <x:c r="J5" s="20" t="str">
        <x:v>LR and dataset foundation substantially complete</x:v>
      </x:c>
    </x:row>
    <x:row r="6">
      <x:c r="A6" s="20" t="str">
        <x:v>Week 2</x:v>
      </x:c>
      <x:c r="B6" s="20" t="str">
        <x:v>28 Sep–4 Oct</x:v>
      </x:c>
      <x:c r="C6" s="20" t="str">
        <x:v>27</x:v>
      </x:c>
      <x:c r="D6" s="20" t="str">
        <x:v>27</x:v>
      </x:c>
      <x:c r="E6" s="20" t="str">
        <x:v>Challenge novelty; close LR matrix gaps</x:v>
      </x:c>
      <x:c r="F6" s="20" t="str">
        <x:v>Freeze Requirements v1.0 and traceability</x:v>
      </x:c>
      <x:c r="G6" s="20" t="str">
        <x:v>Write LR themes and dataset strategy</x:v>
      </x:c>
      <x:c r="H6" s="20" t="str">
        <x:v>Technical/liquidity/volatility agents; PDF ingestion</x:v>
      </x:c>
      <x:c r="I6" s="20" t="str">
        <x:v>—</x:v>
      </x:c>
      <x:c r="J6" s="20" t="str">
        <x:v>Methodology, baselines, pipeline and data schema defined</x:v>
      </x:c>
    </x:row>
    <x:row r="7">
      <x:c r="A7" s="20" t="str">
        <x:v>Week 3</x:v>
      </x:c>
      <x:c r="B7" s="20" t="str">
        <x:v>5–11 Oct</x:v>
      </x:c>
      <x:c r="C7" s="20" t="str">
        <x:v>27</x:v>
      </x:c>
      <x:c r="D7" s="20" t="str">
        <x:v>27</x:v>
      </x:c>
      <x:c r="E7" s="20" t="str">
        <x:v>Final evidence for main gap + sub-gaps</x:v>
      </x:c>
      <x:c r="F7" s="20" t="str">
        <x:v>Requirements continue through verification</x:v>
      </x:c>
      <x:c r="G7" s="20" t="str">
        <x:v>Integrated front-half handout draft</x:v>
      </x:c>
      <x:c r="H7" s="20" t="str">
        <x:v>Fundamental agent; static orchestration; adaptive rule v0.1</x:v>
      </x:c>
      <x:c r="I7" s="20" t="str">
        <x:v>—</x:v>
      </x:c>
      <x:c r="J7" s="20" t="str">
        <x:v>Core scope frozen; static vs adaptive PoC runs</x:v>
      </x:c>
    </x:row>
    <x:row r="8">
      <x:c r="A8" s="20" t="str">
        <x:v>Week 4</x:v>
      </x:c>
      <x:c r="B8" s="20" t="str">
        <x:v>12–18 Oct</x:v>
      </x:c>
      <x:c r="C8" s="20" t="str">
        <x:v>27</x:v>
      </x:c>
      <x:c r="D8" s="20" t="str">
        <x:v>27</x:v>
      </x:c>
      <x:c r="E8" s="20" t="str">
        <x:v>No scope expansion; only evidence corrections</x:v>
      </x:c>
      <x:c r="F8" s="20" t="str">
        <x:v>Verify requirements against PoC</x:v>
      </x:c>
      <x:c r="G8" s="20" t="str">
        <x:v>Methodology, requirements, architecture, pipeline</x:v>
      </x:c>
      <x:c r="H8" s="20" t="str">
        <x:v>Adaptive orchestrator; friction evaluation; ablations</x:v>
      </x:c>
      <x:c r="I8" s="20" t="str">
        <x:v>—</x:v>
      </x:c>
      <x:c r="J8" s="20" t="str">
        <x:v>PoC demonstrates actual proposed contribution; no new scope</x:v>
      </x:c>
    </x:row>
    <x:row r="9">
      <x:c r="A9" s="20" t="str">
        <x:v>Week 5</x:v>
      </x:c>
      <x:c r="B9" s="20" t="str">
        <x:v>19–25 Oct</x:v>
      </x:c>
      <x:c r="C9" s="20" t="str">
        <x:v>27</x:v>
      </x:c>
      <x:c r="D9" s="20" t="str">
        <x:v>27</x:v>
      </x:c>
      <x:c r="E9" s="20" t="str">
        <x:v>Citation/gap verification only</x:v>
      </x:c>
      <x:c r="F9" s="20" t="str">
        <x:v>Freeze traceability and acceptance criteria</x:v>
      </x:c>
      <x:c r="G9" s="20" t="str">
        <x:v>Complete 15-page handout v1.0</x:v>
      </x:c>
      <x:c r="H9" s="20" t="str">
        <x:v>Freeze reproducible PoC evidence</x:v>
      </x:c>
      <x:c r="I9" s="20" t="str">
        <x:v>Start video outline</x:v>
      </x:c>
      <x:c r="J9" s="20" t="str">
        <x:v>Complete handout v1.0; quality gate ≥4.5/5</x:v>
      </x:c>
    </x:row>
    <x:row r="10">
      <x:c r="A10" s="20" t="str">
        <x:v>Week 6</x:v>
      </x:c>
      <x:c r="B10" s="20" t="str">
        <x:v>26 Oct–1 Nov</x:v>
      </x:c>
      <x:c r="C10" s="20" t="str">
        <x:v>27</x:v>
      </x:c>
      <x:c r="D10" s="20" t="str">
        <x:v>27</x:v>
      </x:c>
      <x:c r="E10" s="20" t="str">
        <x:v>No new LR except critical correction</x:v>
      </x:c>
      <x:c r="F10" s="20" t="str">
        <x:v>Final verification only</x:v>
      </x:c>
      <x:c r="G10" s="20" t="str">
        <x:v>Finalise and proofread handout</x:v>
      </x:c>
      <x:c r="H10" s="20" t="str">
        <x:v>Package reproducible PoC evidence</x:v>
      </x:c>
      <x:c r="I10" s="20" t="str">
        <x:v>Build slides, script, record final candidate video</x:v>
      </x:c>
      <x:c r="J10" s="20" t="str">
        <x:v>All substantive work finished by 1 Nov</x:v>
      </x:c>
    </x:row>
    <x:row r="11">
      <x:c r="A11" s="20" t="str">
        <x:v>Final</x:v>
      </x:c>
      <x:c r="B11" s="20" t="str">
        <x:v>2–5 Nov</x:v>
      </x:c>
      <x:c r="C11" s="20" t="str">
        <x:v>12</x:v>
      </x:c>
      <x:c r="D11" s="20" t="str">
        <x:v>12</x:v>
      </x:c>
      <x:c r="E11" s="20" t="str">
        <x:v>No new reading</x:v>
      </x:c>
      <x:c r="F11" s="20" t="str">
        <x:v>No new elicitation</x:v>
      </x:c>
      <x:c r="G11" s="20" t="str">
        <x:v>Final QA and submission</x:v>
      </x:c>
      <x:c r="H11" s="20" t="str">
        <x:v>Link/evidence verification only</x:v>
      </x:c>
      <x:c r="I11" s="20" t="str">
        <x:v>Freeze and submit recorded video</x:v>
      </x:c>
      <x:c r="J11" s="20" t="str">
        <x:v>PPRS handout + video submitted by 5 Nov</x:v>
      </x:c>
    </x:row>
    <x:row r="12">
      <x:c r="A12" s="20" t="str">
        <x:v>Post-PPRS</x:v>
      </x:c>
      <x:c r="B12" s="20" t="str">
        <x:v>6–8 Nov</x:v>
      </x:c>
      <x:c r="C12" s="20" t="str">
        <x:v>20 capacity</x:v>
      </x:c>
      <x:c r="D12" s="20" t="str">
        <x:v>12.5 planned</x:v>
      </x:c>
      <x:c r="E12" s="20" t="str">
        <x:v>Use only for viva evidence</x:v>
      </x:c>
      <x:c r="F12" s="20" t="str">
        <x:v>—</x:v>
      </x:c>
      <x:c r="G12" s="20" t="str">
        <x:v>Convert handout evidence into live deck</x:v>
      </x:c>
      <x:c r="H12" s="20" t="str">
        <x:v>Prepare PoC demo fallback</x:v>
      </x:c>
      <x:c r="I12" s="20" t="str">
        <x:v>Live rehearsals + mock viva</x:v>
      </x:c>
      <x:c r="J12" s="20" t="str">
        <x:v>Live presentation ready immediately after deadline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7c52b2821934d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70" hidden="0" customWidth="1"/>
    <x:col min="4" max="4" width="38" hidden="0" customWidth="1"/>
    <x:col min="5" max="5" width="17" hidden="0" customWidth="1"/>
    <x:col min="6" max="6" width="16" hidden="0" customWidth="1"/>
    <x:col min="7" max="7" width="12" hidden="0" customWidth="1"/>
    <x:col min="8" max="8" width="45" hidden="0" customWidth="1"/>
  </x:cols>
  <x:sheetData>
    <x:row r="1">
      <x:c r="A1" s="3" t="str">
        <x:v>PPRS Deliverables, Definitions of Done, and Quality Gates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Deliverable</x:v>
      </x:c>
      <x:c r="B3" s="12" t="str">
        <x:v>Target Date</x:v>
      </x:c>
      <x:c r="C3" s="12" t="str">
        <x:v>Definition of Done</x:v>
      </x:c>
      <x:c r="D3" s="12" t="str">
        <x:v>Key Evidence</x:v>
      </x:c>
      <x:c r="E3" s="12" t="str">
        <x:v>Must Reach Quality</x:v>
      </x:c>
      <x:c r="F3" s="12" t="str">
        <x:v>Current Status</x:v>
      </x:c>
      <x:c r="G3" s="12" t="str">
        <x:v>Quality /5</x:v>
      </x:c>
      <x:c r="H3" s="12" t="str">
        <x:v>Action if &lt;4.5</x:v>
      </x:c>
    </x:row>
    <x:row r="4">
      <x:c r="A4" s="20" t="str">
        <x:v>1. Literature Review</x:v>
      </x:c>
      <x:c r="B4" s="20" t="str">
        <x:v>25 Oct 2026</x:v>
      </x:c>
      <x:c r="C4" s="20" t="str">
        <x:v>All critical papers read; recent 2025–2026 CSE and global SOTA covered; thematic synthesis written; gap claims supported; remaining absolute claims removed</x:v>
      </x:c>
      <x:c r="D4" s="20" t="str">
        <x:v>Literature Survey Matrix + thematic synthesis</x:v>
      </x:c>
      <x:c r="E4" s="20" t="str">
        <x:v>≥4.5/5</x:v>
      </x:c>
      <x:c r="F4" s="20" t="str">
        <x:v>Not Started</x:v>
      </x:c>
      <x:c r="G4" s="20" t="str"/>
      <x:c r="H4" s="20" t="str">
        <x:v>Read missing papers; improve synthesis; re-check novelty</x:v>
      </x:c>
    </x:row>
    <x:row r="5">
      <x:c r="A5" s="20" t="str">
        <x:v>2. Requirement Elicitation</x:v>
      </x:c>
      <x:c r="B5" s="20" t="str">
        <x:v>22 Oct 2026</x:v>
      </x:c>
      <x:c r="C5" s="20" t="str">
        <x:v>Functional/non-functional/data/evaluation requirements elicited, prioritised, acceptance criteria defined, and traced to RQs/PoC</x:v>
      </x:c>
      <x:c r="D5" s="20" t="str">
        <x:v>Requirements specification + traceability matrix</x:v>
      </x:c>
      <x:c r="E5" s="20" t="str">
        <x:v>≥4.5/5</x:v>
      </x:c>
      <x:c r="F5" s="20" t="str">
        <x:v>Not Started</x:v>
      </x:c>
      <x:c r="G5" s="20" t="str"/>
      <x:c r="H5" s="20" t="str">
        <x:v>Complete missing requirements and traceability</x:v>
      </x:c>
    </x:row>
    <x:row r="6">
      <x:c r="A6" s="20" t="str">
        <x:v>3. PPRS Handout</x:v>
      </x:c>
      <x:c r="B6" s="20" t="str">
        <x:v>4 Nov 2026</x:v>
      </x:c>
      <x:c r="C6" s="20" t="str">
        <x:v>Complete 15-page handout containing introduction/problem background, LR, gap, aim/RQs/objectives, methodology, datasets, requirements, architecture, pipeline, PoC/evaluation and references</x:v>
      </x:c>
      <x:c r="D6" s="20" t="str">
        <x:v>Submission-ready handout</x:v>
      </x:c>
      <x:c r="E6" s="20" t="str">
        <x:v>≥4.5/5</x:v>
      </x:c>
      <x:c r="F6" s="20" t="str">
        <x:v>Not Started</x:v>
      </x:c>
      <x:c r="G6" s="20" t="str"/>
      <x:c r="H6" s="20" t="str">
        <x:v>Revise all weak sections before submission</x:v>
      </x:c>
    </x:row>
    <x:row r="7">
      <x:c r="A7" s="20" t="str">
        <x:v>4. Proof of Concept</x:v>
      </x:c>
      <x:c r="B7" s="20" t="str">
        <x:v>22 Oct 2026</x:v>
      </x:c>
      <x:c r="C7" s="20" t="str">
        <x:v>Data ingestion works; specialist agents produce outputs; static baseline works; adaptive orchestrator works; at least preliminary comparison/ablation evidence exists; reproducible run available</x:v>
      </x:c>
      <x:c r="D7" s="20" t="str">
        <x:v>PoC repository + evidence pack</x:v>
      </x:c>
      <x:c r="E7" s="20" t="str">
        <x:v>≥4.5/5</x:v>
      </x:c>
      <x:c r="F7" s="20" t="str">
        <x:v>Not Started</x:v>
      </x:c>
      <x:c r="G7" s="20" t="str"/>
      <x:c r="H7" s="20" t="str">
        <x:v>Fix feasibility, integration, reproducibility or evidence weakness</x:v>
      </x:c>
    </x:row>
    <x:row r="8">
      <x:c r="A8" s="20" t="str">
        <x:v>5. Recorded PPRS Video</x:v>
      </x:c>
      <x:c r="B8" s="20" t="str">
        <x:v>4 Nov 2026</x:v>
      </x:c>
      <x:c r="C8" s="20" t="str">
        <x:v>Slides and script aligned with handout; research contribution, methodology and PoC explained clearly; timing compliant; final file tested</x:v>
      </x:c>
      <x:c r="D8" s="20" t="str">
        <x:v>Final recorded video</x:v>
      </x:c>
      <x:c r="E8" s="20" t="str">
        <x:v>≥4.5/5</x:v>
      </x:c>
      <x:c r="F8" s="20" t="str">
        <x:v>Not Started</x:v>
      </x:c>
      <x:c r="G8" s="20" t="str"/>
      <x:c r="H8" s="20" t="str">
        <x:v>Re-record after resolving clarity/timing/evidence problems</x:v>
      </x:c>
    </x:row>
    <x:row r="9">
      <x:c r="A9" s="20" t="str">
        <x:v>6. Live Presentation</x:v>
      </x:c>
      <x:c r="B9" s="20" t="str">
        <x:v>Immediately after 5 Nov</x:v>
      </x:c>
      <x:c r="C9" s="20" t="str">
        <x:v>Live deck, backup slides, PoC demo fallback, novelty statement and examiner Q&amp;A prepared; minimum two rehearsals completed</x:v>
      </x:c>
      <x:c r="D9" s="20" t="str">
        <x:v>Live slide deck + Q&amp;A bank + rehearsal log</x:v>
      </x:c>
      <x:c r="E9" s="20" t="str">
        <x:v>≥4.5/5</x:v>
      </x:c>
      <x:c r="F9" s="20" t="str">
        <x:v>Not Started</x:v>
      </x:c>
      <x:c r="G9" s="20" t="str"/>
      <x:c r="H9" s="20" t="str">
        <x:v>Continue rehearsal and close weak Q&amp;A areas</x:v>
      </x:c>
    </x:row>
  </x:sheetData>
  <x:mergeCells>
    <x:mergeCell ref="A1:H1"/>
  </x:mergeCells>
  <x:conditionalFormatting sqref="G4:G9">
    <x:cfRule type="expression" dxfId="6" priority="1">
      <x:formula>AND(ISNUMBER(G4),G4&lt;4.5)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5ae3ff1ee640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6" hidden="0" customWidth="1"/>
    <x:col min="6" max="6" width="12" hidden="0" customWidth="1"/>
    <x:col min="7" max="7" width="14" hidden="0" customWidth="1"/>
    <x:col min="8" max="8" width="14" hidden="0" customWidth="1"/>
  </x:cols>
  <x:sheetData>
    <x:row r="1">
      <x:c r="A1" s="22" t="str">
        <x:v>PPRS Progress Dashboard</x:v>
      </x:c>
      <x:c r="B1" s="22"/>
      <x:c r="C1" s="22"/>
      <x:c r="D1" s="22"/>
      <x:c r="E1" s="22"/>
      <x:c r="F1" s="22"/>
      <x:c r="G1" s="22"/>
      <x:c r="H1" s="22"/>
    </x:row>
    <x:row r="3">
      <x:c r="A3" s="12" t="str">
        <x:v>Metric</x:v>
      </x:c>
      <x:c r="B3" s="12" t="str">
        <x:v>Value</x:v>
      </x:c>
      <x:c r="D3" s="11" t="str">
        <x:v>Major Deliverable</x:v>
      </x:c>
      <x:c r="E3" s="11" t="str">
        <x:v>Planned Hours</x:v>
      </x:c>
      <x:c r="F3" s="11" t="str">
        <x:v>Tasks</x:v>
      </x:c>
      <x:c r="G3" s="11" t="str">
        <x:v>Progress %</x:v>
      </x:c>
    </x:row>
    <x:row r="4">
      <x:c r="A4" s="20" t="str">
        <x:v>Deadline</x:v>
      </x:c>
      <x:c r="B4" s="20" t="str">
        <x:v>5 Nov 2026</x:v>
      </x:c>
      <x:c r="D4" t="str">
        <x:v>1. Literature Review</x:v>
      </x:c>
      <x:c r="E4" t="n">
        <x:f>SUMIF('Atomic Task Tracker'!D4:D215,D4,'Atomic Task Tracker'!H4:H215)</x:f>
        <x:v>25</x:v>
      </x:c>
      <x:c r="F4" t="n">
        <x:f>COUNTIF('Atomic Task Tracker'!D4:D215,D4)</x:f>
        <x:v>24</x:v>
      </x:c>
      <x:c r="G4" s="24" t="n">
        <x:f>IF(F4=0,0,COUNTIFS('Atomic Task Tracker'!D4:D215,D4,'Atomic Task Tracker'!L4:L215,"Completed")/F4*100)</x:f>
        <x:v>0</x:v>
      </x:c>
    </x:row>
    <x:row r="5">
      <x:c r="A5" s="20" t="str">
        <x:v>Total atomic tasks</x:v>
      </x:c>
      <x:c r="B5" s="20" t="n">
        <x:v>212</x:v>
      </x:c>
      <x:c r="D5" t="str">
        <x:v>2. Requirement Elicitation</x:v>
      </x:c>
      <x:c r="E5" t="n">
        <x:f>SUMIF('Atomic Task Tracker'!D4:D215,D5,'Atomic Task Tracker'!H4:H215)</x:f>
        <x:v>13</x:v>
      </x:c>
      <x:c r="F5" t="n">
        <x:f>COUNTIF('Atomic Task Tracker'!D4:D215,D5)</x:f>
        <x:v>19</x:v>
      </x:c>
      <x:c r="G5" s="24" t="n">
        <x:f>IF(F5=0,0,COUNTIFS('Atomic Task Tracker'!D4:D215,D5,'Atomic Task Tracker'!L4:L215,"Completed")/F5*100)</x:f>
        <x:v>0</x:v>
      </x:c>
    </x:row>
    <x:row r="6">
      <x:c r="A6" s="20" t="str">
        <x:v>Pre-deadline planned hours</x:v>
      </x:c>
      <x:c r="B6" s="20" t="n">
        <x:v>181</x:v>
      </x:c>
      <x:c r="D6" t="str">
        <x:v>3. PPRS Handout</x:v>
      </x:c>
      <x:c r="E6" t="n">
        <x:f>SUMIF('Atomic Task Tracker'!D4:D215,D6,'Atomic Task Tracker'!H4:H215)</x:f>
        <x:v>67.5</x:v>
      </x:c>
      <x:c r="F6" t="n">
        <x:f>COUNTIF('Atomic Task Tracker'!D4:D215,D6)</x:f>
        <x:v>75</x:v>
      </x:c>
      <x:c r="G6" s="24" t="n">
        <x:f>IF(F6=0,0,COUNTIFS('Atomic Task Tracker'!D4:D215,D6,'Atomic Task Tracker'!L4:L215,"Completed")/F6*100)</x:f>
        <x:v>0</x:v>
      </x:c>
    </x:row>
    <x:row r="7">
      <x:c r="A7" s="20" t="str">
        <x:v>Available pre-deadline hours</x:v>
      </x:c>
      <x:c r="B7" s="20" t="n">
        <x:v>182</x:v>
      </x:c>
      <x:c r="D7" t="str">
        <x:v>4. Proof of Concept</x:v>
      </x:c>
      <x:c r="E7" t="n">
        <x:f>SUMIF('Atomic Task Tracker'!D4:D215,D7,'Atomic Task Tracker'!H4:H215)</x:f>
        <x:v>37.25</x:v>
      </x:c>
      <x:c r="F7" t="n">
        <x:f>COUNTIF('Atomic Task Tracker'!D4:D215,D7)</x:f>
        <x:v>40</x:v>
      </x:c>
      <x:c r="G7" s="24" t="n">
        <x:f>IF(F7=0,0,COUNTIFS('Atomic Task Tracker'!D4:D215,D7,'Atomic Task Tracker'!L4:L215,"Completed")/F7*100)</x:f>
        <x:v>0</x:v>
      </x:c>
    </x:row>
    <x:row r="8">
      <x:c r="A8" s="20" t="str">
        <x:v>Post-deadline live-prep hours</x:v>
      </x:c>
      <x:c r="B8" s="20" t="n">
        <x:v>12.5</x:v>
      </x:c>
      <x:c r="D8" t="str">
        <x:v>5. Recorded Video</x:v>
      </x:c>
      <x:c r="E8" t="n">
        <x:f>SUMIF('Atomic Task Tracker'!D4:D215,D8,'Atomic Task Tracker'!H4:H215)</x:f>
        <x:v>18.25</x:v>
      </x:c>
      <x:c r="F8" t="n">
        <x:f>COUNTIF('Atomic Task Tracker'!D4:D215,D8)</x:f>
        <x:v>18</x:v>
      </x:c>
      <x:c r="G8" s="24" t="n">
        <x:f>IF(F8=0,0,COUNTIFS('Atomic Task Tracker'!D4:D215,D8,'Atomic Task Tracker'!L4:L215,"Completed")/F8*100)</x:f>
        <x:v>0</x:v>
      </x:c>
    </x:row>
    <x:row r="9">
      <x:c r="A9" s="20" t="str">
        <x:v>Completed tasks</x:v>
      </x:c>
      <x:c r="B9" s="20" t="n">
        <x:f>COUNTIF('Atomic Task Tracker'!L4:L215,"Completed")</x:f>
        <x:v>0</x:v>
      </x:c>
      <x:c r="D9" t="str">
        <x:v>6. Live Presentation</x:v>
      </x:c>
      <x:c r="E9" t="n">
        <x:f>SUMIF('Atomic Task Tracker'!D4:D215,D9,'Atomic Task Tracker'!H4:H215)</x:f>
        <x:v>13</x:v>
      </x:c>
      <x:c r="F9" t="n">
        <x:f>COUNTIF('Atomic Task Tracker'!D4:D215,D9)</x:f>
        <x:v>14</x:v>
      </x:c>
      <x:c r="G9" s="24" t="n">
        <x:f>IF(F9=0,0,COUNTIFS('Atomic Task Tracker'!D4:D215,D9,'Atomic Task Tracker'!L4:L215,"Completed")/F9*100)</x:f>
        <x:v>0</x:v>
      </x:c>
    </x:row>
    <x:row r="10">
      <x:c r="A10" s="20" t="str">
        <x:v>In-progress tasks</x:v>
      </x:c>
      <x:c r="B10" s="20" t="n">
        <x:f>COUNTIF('Atomic Task Tracker'!L4:L215,"In Progress")</x:f>
        <x:v>0</x:v>
      </x:c>
      <x:c r="D10" t="str">
        <x:v>Supporting / QA</x:v>
      </x:c>
      <x:c r="E10" t="n">
        <x:f>SUMIF('Atomic Task Tracker'!D4:D215,D10,'Atomic Task Tracker'!H4:H215)</x:f>
        <x:v>19.5</x:v>
      </x:c>
      <x:c r="F10" t="n">
        <x:f>COUNTIF('Atomic Task Tracker'!D4:D215,D10)</x:f>
        <x:v>22</x:v>
      </x:c>
      <x:c r="G10" s="24" t="n">
        <x:f>IF(F10=0,0,COUNTIFS('Atomic Task Tracker'!D4:D215,D10,'Atomic Task Tracker'!L4:L215,"Completed")/F10*100)</x:f>
        <x:v>0</x:v>
      </x:c>
    </x:row>
    <x:row r="11">
      <x:c r="A11" s="20" t="str">
        <x:v>Blocked tasks</x:v>
      </x:c>
      <x:c r="B11" s="20" t="n">
        <x:f>COUNTIF('Atomic Task Tracker'!L4:L215,"Blocked")</x:f>
        <x:v>0</x:v>
      </x:c>
    </x:row>
    <x:row r="14">
      <x:c r="A14" s="28" t="str">
        <x:v>Control Rule: LR + Requirement Elicitation + Handout + PoC must progress simultaneously. No new technical scope after 18 October. Complete handout v1.0 by 24–25 October. All substantive work finished by 1 November.</x:v>
      </x:c>
      <x:c r="B14" s="28"/>
      <x:c r="C14" s="28"/>
      <x:c r="D14" s="28"/>
      <x:c r="E14" s="28"/>
      <x:c r="F14" s="28"/>
      <x:c r="G14" s="28"/>
      <x:c r="H14" s="28"/>
    </x:row>
    <x:row r="17">
      <x:c r="A17" s="11" t="str">
        <x:v>Workstream</x:v>
      </x:c>
      <x:c r="B17" s="11" t="str">
        <x:v>Planned Hours</x:v>
      </x:c>
      <x:c r="C17" s="11" t="str">
        <x:v>Share %</x:v>
      </x:c>
    </x:row>
    <x:row r="18">
      <x:c r="A18" t="str">
        <x:v>Dataset</x:v>
      </x:c>
      <x:c r="B18" t="n">
        <x:v>1</x:v>
      </x:c>
      <x:c r="C18" s="24" t="n">
        <x:f>B18/SUM($B$18:$B$27)*100</x:f>
        <x:v>0.516795865633075</x:v>
      </x:c>
    </x:row>
    <x:row r="19">
      <x:c r="A19" t="str">
        <x:v>Literature Review</x:v>
      </x:c>
      <x:c r="B19" t="n">
        <x:v>25</x:v>
      </x:c>
      <x:c r="C19" s="24" t="n">
        <x:f>B19/SUM($B$18:$B$27)*100</x:f>
        <x:v>12.919896640826872</x:v>
      </x:c>
    </x:row>
    <x:row r="20">
      <x:c r="A20" t="str">
        <x:v>Live Presentation</x:v>
      </x:c>
      <x:c r="B20" t="n">
        <x:v>13</x:v>
      </x:c>
      <x:c r="C20" s="24" t="n">
        <x:f>B20/SUM($B$18:$B$27)*100</x:f>
        <x:v>6.718346253229974</x:v>
      </x:c>
    </x:row>
    <x:row r="21">
      <x:c r="A21" t="str">
        <x:v>Methodology</x:v>
      </x:c>
      <x:c r="B21" t="n">
        <x:v>11.25</x:v>
      </x:c>
      <x:c r="C21" s="24" t="n">
        <x:f>B21/SUM($B$18:$B$27)*100</x:f>
        <x:v>5.813953488372093</x:v>
      </x:c>
    </x:row>
    <x:row r="22">
      <x:c r="A22" t="str">
        <x:v>PPRS Handout</x:v>
      </x:c>
      <x:c r="B22" t="n">
        <x:v>52.25</x:v>
      </x:c>
      <x:c r="C22" s="24" t="n">
        <x:f>B22/SUM($B$18:$B$27)*100</x:f>
        <x:v>27.002583979328165</x:v>
      </x:c>
    </x:row>
    <x:row r="23">
      <x:c r="A23" t="str">
        <x:v>PPRS Video</x:v>
      </x:c>
      <x:c r="B23" t="n">
        <x:v>18.25</x:v>
      </x:c>
      <x:c r="C23" s="24" t="n">
        <x:f>B23/SUM($B$18:$B$27)*100</x:f>
        <x:v>9.431524547803617</x:v>
      </x:c>
    </x:row>
    <x:row r="24">
      <x:c r="A24" t="str">
        <x:v>PoC</x:v>
      </x:c>
      <x:c r="B24" t="n">
        <x:v>36.25</x:v>
      </x:c>
      <x:c r="C24" s="24" t="n">
        <x:f>B24/SUM($B$18:$B$27)*100</x:f>
        <x:v>18.733850129198967</x:v>
      </x:c>
    </x:row>
    <x:row r="25">
      <x:c r="A25" t="str">
        <x:v>Project Control</x:v>
      </x:c>
      <x:c r="B25" t="n">
        <x:v>19.5</x:v>
      </x:c>
      <x:c r="C25" s="24" t="n">
        <x:f>B25/SUM($B$18:$B$27)*100</x:f>
        <x:v>10.077519379844961</x:v>
      </x:c>
    </x:row>
    <x:row r="26">
      <x:c r="A26" t="str">
        <x:v>Requirement Elicitation</x:v>
      </x:c>
      <x:c r="B26" t="n">
        <x:v>13</x:v>
      </x:c>
      <x:c r="C26" s="24" t="n">
        <x:f>B26/SUM($B$18:$B$27)*100</x:f>
        <x:v>6.718346253229974</x:v>
      </x:c>
    </x:row>
    <x:row r="27">
      <x:c r="A27" t="str">
        <x:v>Research Design</x:v>
      </x:c>
      <x:c r="B27" t="n">
        <x:v>4</x:v>
      </x:c>
      <x:c r="C27" s="24" t="n">
        <x:f>B27/SUM($B$18:$B$27)*100</x:f>
        <x:v>2.0671834625323</x:v>
      </x:c>
    </x:row>
  </x:sheetData>
  <x:mergeCells>
    <x:mergeCell ref="A1:H1"/>
    <x:mergeCell ref="A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0" hidden="0" customWidth="1"/>
  </x:cols>
  <x:sheetData>
    <x:row r="1">
      <x:c r="A1" s="3" t="str">
        <x:v>How to Use This Tracker</x:v>
      </x:c>
      <x:c r="B1" s="3"/>
      <x:c r="C1" s="3"/>
      <x:c r="D1" s="3"/>
      <x:c r="E1" s="3"/>
      <x:c r="F1" s="3"/>
    </x:row>
    <x:row r="3">
      <x:c r="A3" s="12" t="str">
        <x:v>Rule</x:v>
      </x:c>
      <x:c r="B3" s="12" t="str">
        <x:v>Instruction</x:v>
      </x:c>
    </x:row>
    <x:row r="4">
      <x:c r="A4" s="20" t="str">
        <x:v>1</x:v>
      </x:c>
      <x:c r="B4" s="20" t="str">
        <x:v>Treat every row in Atomic Task Tracker as an atomic task. Do not mark it complete unless the Evidence / Deliverable exists.</x:v>
      </x:c>
    </x:row>
    <x:row r="5">
      <x:c r="A5" s="20" t="str">
        <x:v>2</x:v>
      </x:c>
      <x:c r="B5" s="20" t="str">
        <x:v>Update Status as Not Started / In Progress / Completed / Blocked.</x:v>
      </x:c>
    </x:row>
    <x:row r="6">
      <x:c r="A6" s="20" t="str">
        <x:v>3</x:v>
      </x:c>
      <x:c r="B6" s="20" t="str">
        <x:v>Enter the actual completion date and evidence/link when a task is completed.</x:v>
      </x:c>
    </x:row>
    <x:row r="7">
      <x:c r="A7" s="20" t="str">
        <x:v>4</x:v>
      </x:c>
      <x:c r="B7" s="20" t="str">
        <x:v>Rate completed work out of 5. Any completed item below 4.5 requires rework.</x:v>
      </x:c>
    </x:row>
    <x:row r="8">
      <x:c r="A8" s="20" t="str">
        <x:v>5</x:v>
      </x:c>
      <x:c r="B8" s="20" t="str">
        <x:v>LR, Requirement Elicitation, Handout and PoC are parallel workstreams; do not finish one and postpone the others.</x:v>
      </x:c>
    </x:row>
    <x:row r="9">
      <x:c r="A9" s="20" t="str">
        <x:v>6</x:v>
      </x:c>
      <x:c r="B9" s="20" t="str">
        <x:v>Do not expand the technical scope after 18 October.</x:v>
      </x:c>
    </x:row>
    <x:row r="10">
      <x:c r="A10" s="20" t="str">
        <x:v>7</x:v>
      </x:c>
      <x:c r="B10" s="20" t="str">
        <x:v>Handout Version 1.0 must exist by 24–25 October; do not wait until November to start writing.</x:v>
      </x:c>
    </x:row>
    <x:row r="11">
      <x:c r="A11" s="20" t="str">
        <x:v>8</x:v>
      </x:c>
      <x:c r="B11" s="20" t="str">
        <x:v>Recorded video must be complete before the 5 November deadline.</x:v>
      </x:c>
    </x:row>
    <x:row r="12">
      <x:c r="A12" s="20" t="str">
        <x:v>9</x:v>
      </x:c>
      <x:c r="B12" s="20" t="str">
        <x:v>Live-presentation preparation begins immediately after the deadline using the submitted research, not by introducing new research.</x:v>
      </x:c>
    </x:row>
    <x:row r="13">
      <x:c r="A13" t="str">
        <x:v>10</x:v>
      </x:c>
      <x:c r="B13" t="str">
        <x:v>If a critical dataset or PoC dependency is blocked, mark the task Blocked and record the exact reason and mitigation in Remarks.</x:v>
      </x:c>
    </x:row>
  </x:sheetData>
  <x:mergeCells>
    <x:mergeCell ref="A1:F1"/>
  </x:mergeCells>
  <x:pageMargins left="0.7" right="0.7" top="0.75" bottom="0.75" header="0.3" footer="0.3"/>
</x:worksheet>
</file>