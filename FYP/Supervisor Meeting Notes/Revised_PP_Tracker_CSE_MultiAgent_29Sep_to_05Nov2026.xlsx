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7e1a6429e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955b66d21943a6"/>
    <x:sheet xmlns:r="http://schemas.openxmlformats.org/officeDocument/2006/relationships" name="Atomic Tracker" sheetId="2" r:id="R085f61cfa50d48f2"/>
    <x:sheet xmlns:r="http://schemas.openxmlformats.org/officeDocument/2006/relationships" name="Weekly Milestones" sheetId="3" r:id="Raebcbc656dac4343"/>
    <x:sheet xmlns:r="http://schemas.openxmlformats.org/officeDocument/2006/relationships" name="Current Progress" sheetId="4" r:id="Ra21465a0fb37480e"/>
    <x:sheet xmlns:r="http://schemas.openxmlformats.org/officeDocument/2006/relationships" name="Improvement Log" sheetId="5" r:id="R58a8a3024cb648ad"/>
    <x:sheet xmlns:r="http://schemas.openxmlformats.org/officeDocument/2006/relationships" name="PP Deliverables" sheetId="6" r:id="Rdb5338d2479e4b46"/>
    <x:sheet xmlns:r="http://schemas.openxmlformats.org/officeDocument/2006/relationships" name="Live Presentation Prep" sheetId="7" r:id="R1547e6502a3e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2" fillId="4" borderId="1" xfId="0" applyNumberFormat="1" applyFont="1" applyFill="1" applyBorder="1"/>
    <x:xf numFmtId="201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201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C6E0B4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EADCF8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3127d8c6e4133" /><Relationship Type="http://schemas.openxmlformats.org/officeDocument/2006/relationships/theme" Target="/xl/theme/theme1.xml" Id="R9dcc19412b184f0e" /><Relationship Type="http://schemas.openxmlformats.org/officeDocument/2006/relationships/sharedStrings" Target="/xl/sharedStrings.xml" Id="R5d8f0c6efcb94eb7" /><Relationship Type="http://schemas.openxmlformats.org/officeDocument/2006/relationships/worksheet" Target="/xl/worksheets/sheet1.xml" Id="Rab955b66d21943a6" /><Relationship Type="http://schemas.openxmlformats.org/officeDocument/2006/relationships/worksheet" Target="/xl/worksheets/sheet2.xml" Id="R085f61cfa50d48f2" /><Relationship Type="http://schemas.openxmlformats.org/officeDocument/2006/relationships/worksheet" Target="/xl/worksheets/sheet3.xml" Id="Raebcbc656dac4343" /><Relationship Type="http://schemas.openxmlformats.org/officeDocument/2006/relationships/worksheet" Target="/xl/worksheets/sheet4.xml" Id="Ra21465a0fb37480e" /><Relationship Type="http://schemas.openxmlformats.org/officeDocument/2006/relationships/worksheet" Target="/xl/worksheets/sheet5.xml" Id="R58a8a3024cb648ad" /><Relationship Type="http://schemas.openxmlformats.org/officeDocument/2006/relationships/worksheet" Target="/xl/worksheets/sheet6.xml" Id="Rdb5338d2479e4b46" /><Relationship Type="http://schemas.openxmlformats.org/officeDocument/2006/relationships/worksheet" Target="/xl/worksheets/sheet7.xml" Id="R1547e6502a3e4f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29851c10af46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Hours by Workstream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 Hours</c:v>
          </c:tx>
          <c:cat>
            <c:strRef>
              <c:f>'Dashboard'!$D$4:$D$22</c:f>
              <c:strCache>
                <c:ptCount val="0"/>
              </c:strCache>
            </c:strRef>
          </c:cat>
          <c:val>
            <c:numRef>
              <c:f>'Dashboard'!$E$4:$E$22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29851c10af46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omicTasksTable" displayName="AtomicTasksTable" ref="A3:R196" headerRowCount="1" totalsRowCount="0" totalsRowShown="0">
  <x:tableColumns count="18">
    <x:tableColumn id="1" name="Task ID"/>
    <x:tableColumn id="2" name="Planned Date"/>
    <x:tableColumn id="3" name="Week"/>
    <x:tableColumn id="4" name="Workstream"/>
    <x:tableColumn id="5" name="Atomic Task"/>
    <x:tableColumn id="6" name="Required Output/Evidence"/>
    <x:tableColumn id="7" name="Planned Hours"/>
    <x:tableColumn id="8" name="Priority"/>
    <x:tableColumn id="9" name="Dependency"/>
    <x:tableColumn id="10" name="Milestone"/>
    <x:tableColumn id="11" name="Status"/>
    <x:tableColumn id="12" name="Completion %"/>
    <x:tableColumn id="13" name="Quality /5"/>
    <x:tableColumn id="14" name="Rework Required?"/>
    <x:tableColumn id="15" name="Schedule Flag"/>
    <x:tableColumn id="16" name="Actual Completion Date"/>
    <x:tableColumn id="17" name="Evidence / Link"/>
    <x:tableColumn id="18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WeeklyMilestonesTable" displayName="WeeklyMilestonesTable" ref="A3:H10" headerRowCount="1" totalsRowCount="0" totalsRowShown="0">
  <x:tableColumns count="8">
    <x:tableColumn id="1" name="Period"/>
    <x:tableColumn id="2" name="Dates"/>
    <x:tableColumn id="3" name="Available Hours"/>
    <x:tableColumn id="4" name="Main Focus"/>
    <x:tableColumn id="5" name="Must Be Complete"/>
    <x:tableColumn id="6" name="No Longer Spend Time On"/>
    <x:tableColumn id="7" name="Quality Gate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rogressTable" displayName="ProgressTable" ref="A3:F15" headerRowCount="1" totalsRowCount="0" totalsRowShown="0">
  <x:tableColumns count="6">
    <x:tableColumn id="1" name="Area"/>
    <x:tableColumn id="2" name="Current Quality"/>
    <x:tableColumn id="3" name="What Is Already Strong"/>
    <x:tableColumn id="4" name="Known Weakness"/>
    <x:tableColumn id="5" name="Immediate Action"/>
    <x:tableColumn id="6" name="Targe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ImprovementTable" displayName="ImprovementTable" ref="A3:G13" headerRowCount="1" totalsRowCount="0" totalsRowShown="0">
  <x:tableColumns count="7">
    <x:tableColumn id="1" name="Priority"/>
    <x:tableColumn id="2" name="Improvement"/>
    <x:tableColumn id="3" name="Why Needed"/>
    <x:tableColumn id="4" name="Evidence of Current Issue"/>
    <x:tableColumn id="5" name="Required Action"/>
    <x:tableColumn id="6" name="Due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PDeliverablesTable" displayName="PPDeliverablesTable" ref="A3:G14" headerRowCount="1" totalsRowCount="0" totalsRowShown="0">
  <x:tableColumns count="7">
    <x:tableColumn id="1" name="Deliverable"/>
    <x:tableColumn id="2" name="Definition of Done"/>
    <x:tableColumn id="3" name="Due"/>
    <x:tableColumn id="4" name="Current Status"/>
    <x:tableColumn id="5" name="Quality /5"/>
    <x:tableColumn id="6" name="Evidence/Location"/>
    <x:tableColumn id="7" name="Action if &lt;4.5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vePrepTable" displayName="LivePrepTable" ref="A3:G14" headerRowCount="1" totalsRowCount="0" totalsRowShown="0">
  <x:tableColumns count="7">
    <x:tableColumn id="1" name="Date"/>
    <x:tableColumn id="2" name="Task"/>
    <x:tableColumn id="3" name="Output"/>
    <x:tableColumn id="4" name="Hours"/>
    <x:tableColumn id="5" name="Status"/>
    <x:tableColumn id="6" name="Quality /5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0dbd3dea0642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c7ec06b5ad49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81e4299d354e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c0257e625c46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92dbfdf929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617fd938834e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5b6674e1b04af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6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4" t="str">
        <x:v>Project Proposal Progress Dashboard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  <x:c r="D3" s="12" t="str">
        <x:v>Workstream</x:v>
      </x:c>
      <x:c r="E3" s="12" t="str">
        <x:v>Planned Hours</x:v>
      </x:c>
      <x:c r="F3" s="12" t="str">
        <x:v>Tasks</x:v>
      </x:c>
      <x:c r="G3" s="12" t="str">
        <x:v>Progress %</x:v>
      </x:c>
    </x:row>
    <x:row r="4">
      <x:c r="A4" t="str">
        <x:v>Submission Deadline</x:v>
      </x:c>
      <x:c r="B4" t="str">
        <x:v>5 Nov 2026</x:v>
      </x:c>
      <x:c r="D4" t="str">
        <x:v>Architecture</x:v>
      </x:c>
      <x:c r="E4" t="n">
        <x:f>SUMIF('Atomic Tracker'!D4:D196,D4,'Atomic Tracker'!G4:G196)</x:f>
        <x:v>4</x:v>
      </x:c>
      <x:c r="F4" t="n">
        <x:f>COUNTIF('Atomic Tracker'!D4:D196,D4)</x:f>
        <x:v>8</x:v>
      </x:c>
      <x:c r="G4" s="24" t="n">
        <x:f>IF(F4=0,0,COUNTIFS('Atomic Tracker'!D4:D196,D4,'Atomic Tracker'!K4:K196,"Completed")/F4*100)</x:f>
        <x:v>0</x:v>
      </x:c>
    </x:row>
    <x:row r="5">
      <x:c r="A5" t="str">
        <x:v>Total pre-deadline hours</x:v>
      </x:c>
      <x:c r="B5" t="n">
        <x:v>126</x:v>
      </x:c>
      <x:c r="D5" t="str">
        <x:v>Dataset</x:v>
      </x:c>
      <x:c r="E5" t="n">
        <x:f>SUMIF('Atomic Tracker'!D4:D196,D5,'Atomic Tracker'!G4:G196)</x:f>
        <x:v>4</x:v>
      </x:c>
      <x:c r="F5" t="n">
        <x:f>COUNTIF('Atomic Tracker'!D4:D196,D5)</x:f>
        <x:v>4</x:v>
      </x:c>
      <x:c r="G5" s="24" t="n">
        <x:f>IF(F5=0,0,COUNTIFS('Atomic Tracker'!D4:D196,D5,'Atomic Tracker'!K4:K196,"Completed")/F5*100)</x:f>
        <x:v>0</x:v>
      </x:c>
    </x:row>
    <x:row r="6">
      <x:c r="A6" t="str">
        <x:v>Total pre-deadline atomic tasks</x:v>
      </x:c>
      <x:c r="B6" t="n">
        <x:v>182</x:v>
      </x:c>
      <x:c r="D6" t="str">
        <x:v>Dataset &amp; Feasibility</x:v>
      </x:c>
      <x:c r="E6" t="n">
        <x:f>SUMIF('Atomic Tracker'!D4:D196,D6,'Atomic Tracker'!G4:G196)</x:f>
        <x:v>12</x:v>
      </x:c>
      <x:c r="F6" t="n">
        <x:f>COUNTIF('Atomic Tracker'!D4:D196,D6)</x:f>
        <x:v>12</x:v>
      </x:c>
      <x:c r="G6" s="24" t="n">
        <x:f>IF(F6=0,0,COUNTIFS('Atomic Tracker'!D4:D196,D6,'Atomic Tracker'!K4:K196,"Completed")/F6*100)</x:f>
        <x:v>0</x:v>
      </x:c>
    </x:row>
    <x:row r="7">
      <x:c r="A7" t="str">
        <x:v>Post-deadline live-prep hours</x:v>
      </x:c>
      <x:c r="B7" t="n">
        <x:v>11</x:v>
      </x:c>
      <x:c r="D7" t="str">
        <x:v>Evaluation Design</x:v>
      </x:c>
      <x:c r="E7" t="n">
        <x:f>SUMIF('Atomic Tracker'!D4:D196,D7,'Atomic Tracker'!G4:G196)</x:f>
        <x:v>8</x:v>
      </x:c>
      <x:c r="F7" t="n">
        <x:f>COUNTIF('Atomic Tracker'!D4:D196,D7)</x:f>
        <x:v>16</x:v>
      </x:c>
      <x:c r="G7" s="24" t="n">
        <x:f>IF(F7=0,0,COUNTIFS('Atomic Tracker'!D4:D196,D7,'Atomic Tracker'!K4:K196,"Completed")/F7*100)</x:f>
        <x:v>0</x:v>
      </x:c>
    </x:row>
    <x:row r="8">
      <x:c r="A8" t="str">
        <x:v>4.5 quality threshold</x:v>
      </x:c>
      <x:c r="B8" t="n">
        <x:v>4.5</x:v>
      </x:c>
      <x:c r="D8" t="str">
        <x:v>Literature Review</x:v>
      </x:c>
      <x:c r="E8" t="n">
        <x:f>SUMIF('Atomic Tracker'!D4:D196,D8,'Atomic Tracker'!G4:G196)</x:f>
        <x:v>6</x:v>
      </x:c>
      <x:c r="F8" t="n">
        <x:f>COUNTIF('Atomic Tracker'!D4:D196,D8)</x:f>
        <x:v>8</x:v>
      </x:c>
      <x:c r="G8" s="24" t="n">
        <x:f>IF(F8=0,0,COUNTIFS('Atomic Tracker'!D4:D196,D8,'Atomic Tracker'!K4:K196,"Completed")/F8*100)</x:f>
        <x:v>0</x:v>
      </x:c>
    </x:row>
    <x:row r="9">
      <x:c r="A9" t="str">
        <x:v>Completed tasks</x:v>
      </x:c>
      <x:c r="B9" t="n">
        <x:f>COUNTIF('Atomic Tracker'!K4:K196,"Completed")</x:f>
        <x:v>0</x:v>
      </x:c>
      <x:c r="D9" t="str">
        <x:v>Methodology</x:v>
      </x:c>
      <x:c r="E9" t="n">
        <x:f>SUMIF('Atomic Tracker'!D4:D196,D9,'Atomic Tracker'!G4:G196)</x:f>
        <x:v>2</x:v>
      </x:c>
      <x:c r="F9" t="n">
        <x:f>COUNTIF('Atomic Tracker'!D4:D196,D9)</x:f>
        <x:v>4</x:v>
      </x:c>
      <x:c r="G9" s="24" t="n">
        <x:f>IF(F9=0,0,COUNTIFS('Atomic Tracker'!D4:D196,D9,'Atomic Tracker'!K4:K196,"Completed")/F9*100)</x:f>
        <x:v>0</x:v>
      </x:c>
    </x:row>
    <x:row r="10">
      <x:c r="A10" t="str">
        <x:v>In-progress tasks</x:v>
      </x:c>
      <x:c r="B10" t="n">
        <x:f>COUNTIF('Atomic Tracker'!K4:K196,"In Progress")</x:f>
        <x:v>2</x:v>
      </x:c>
      <x:c r="D10" t="str">
        <x:v>PP Finalisation</x:v>
      </x:c>
      <x:c r="E10" t="n">
        <x:f>SUMIF('Atomic Tracker'!D4:D196,D10,'Atomic Tracker'!G4:G196)</x:f>
        <x:v>12</x:v>
      </x:c>
      <x:c r="F10" t="n">
        <x:f>COUNTIF('Atomic Tracker'!D4:D196,D10)</x:f>
        <x:v>12</x:v>
      </x:c>
      <x:c r="G10" s="24" t="n">
        <x:f>IF(F10=0,0,COUNTIFS('Atomic Tracker'!D4:D196,D10,'Atomic Tracker'!K4:K196,"Completed")/F10*100)</x:f>
        <x:v>0</x:v>
      </x:c>
    </x:row>
    <x:row r="11">
      <x:c r="A11" t="str">
        <x:v>Blocked tasks</x:v>
      </x:c>
      <x:c r="B11" t="n">
        <x:f>COUNTIF('Atomic Tracker'!K4:K196,"Blocked")</x:f>
        <x:v>0</x:v>
      </x:c>
      <x:c r="D11" t="str">
        <x:v>PP Slides</x:v>
      </x:c>
      <x:c r="E11" t="n">
        <x:f>SUMIF('Atomic Tracker'!D4:D196,D11,'Atomic Tracker'!G4:G196)</x:f>
        <x:v>12</x:v>
      </x:c>
      <x:c r="F11" t="n">
        <x:f>COUNTIF('Atomic Tracker'!D4:D196,D11)</x:f>
        <x:v>24</x:v>
      </x:c>
      <x:c r="G11" s="24" t="n">
        <x:f>IF(F11=0,0,COUNTIFS('Atomic Tracker'!D4:D196,D11,'Atomic Tracker'!K4:K196,"Completed")/F11*100)</x:f>
        <x:v>0</x:v>
      </x:c>
    </x:row>
    <x:row r="12">
      <x:c r="D12" t="str">
        <x:v>PoC Evaluation</x:v>
      </x:c>
      <x:c r="E12" t="n">
        <x:f>SUMIF('Atomic Tracker'!D4:D196,D12,'Atomic Tracker'!G4:G196)</x:f>
        <x:v>4</x:v>
      </x:c>
      <x:c r="F12" t="n">
        <x:f>COUNTIF('Atomic Tracker'!D4:D196,D12)</x:f>
        <x:v>8</x:v>
      </x:c>
      <x:c r="G12" s="24" t="n">
        <x:f>IF(F12=0,0,COUNTIFS('Atomic Tracker'!D4:D196,D12,'Atomic Tracker'!K4:K196,"Completed")/F12*100)</x:f>
        <x:v>0</x:v>
      </x:c>
    </x:row>
    <x:row r="13">
      <x:c r="D13" t="str">
        <x:v>PoC Evaluation &amp; PP Evidence</x:v>
      </x:c>
      <x:c r="E13" t="n">
        <x:f>SUMIF('Atomic Tracker'!D4:D196,D13,'Atomic Tracker'!G4:G196)</x:f>
        <x:v>12</x:v>
      </x:c>
      <x:c r="F13" t="n">
        <x:f>COUNTIF('Atomic Tracker'!D4:D196,D13)</x:f>
        <x:v>12</x:v>
      </x:c>
      <x:c r="G13" s="24" t="n">
        <x:f>IF(F13=0,0,COUNTIFS('Atomic Tracker'!D4:D196,D13,'Atomic Tracker'!K4:K196,"Completed")/F13*100)</x:f>
        <x:v>0</x:v>
      </x:c>
    </x:row>
    <x:row r="14">
      <x:c r="D14" t="str">
        <x:v>PoC Evaluation &amp; Testing</x:v>
      </x:c>
      <x:c r="E14" t="n">
        <x:f>SUMIF('Atomic Tracker'!D4:D196,D14,'Atomic Tracker'!G4:G196)</x:f>
        <x:v>4</x:v>
      </x:c>
      <x:c r="F14" t="n">
        <x:f>COUNTIF('Atomic Tracker'!D4:D196,D14)</x:f>
        <x:v>8</x:v>
      </x:c>
      <x:c r="G14" s="24" t="n">
        <x:f>IF(F14=0,0,COUNTIFS('Atomic Tracker'!D4:D196,D14,'Atomic Tracker'!K4:K196,"Completed")/F14*100)</x:f>
        <x:v>0</x:v>
      </x:c>
    </x:row>
    <x:row r="15">
      <x:c r="A15" s="30" t="str">
        <x:v>Current Critical Path</x:v>
      </x:c>
      <x:c r="B15" s="30"/>
      <x:c r="C15" s="30"/>
      <x:c r="D15" s="30" t="str">
        <x:v>PoC Implementation</x:v>
      </x:c>
      <x:c r="E15" s="30" t="n">
        <x:f>SUMIF('Atomic Tracker'!D4:D196,D15,'Atomic Tracker'!G4:G196)</x:f>
        <x:v>14</x:v>
      </x:c>
      <x:c r="F15" s="30" t="n">
        <x:f>COUNTIF('Atomic Tracker'!D4:D196,D15)</x:f>
        <x:v>16</x:v>
      </x:c>
      <x:c r="G15" s="31" t="n">
        <x:f>IF(F15=0,0,COUNTIFS('Atomic Tracker'!D4:D196,D15,'Atomic Tracker'!K4:K196,"Completed")/F15*100)</x:f>
        <x:v>0</x:v>
      </x:c>
      <x:c r="H15" s="30"/>
    </x:row>
    <x:row r="16">
      <x:c r="A16" s="12" t="str">
        <x:v>Critical item</x:v>
      </x:c>
      <x:c r="B16" s="12" t="str">
        <x:v>Current state</x:v>
      </x:c>
      <x:c r="D16" t="str">
        <x:v>Requirements Engineering</x:v>
      </x:c>
      <x:c r="E16" t="n">
        <x:f>SUMIF('Atomic Tracker'!D4:D196,D16,'Atomic Tracker'!G4:G196)</x:f>
        <x:v>6</x:v>
      </x:c>
      <x:c r="F16" t="n">
        <x:f>COUNTIF('Atomic Tracker'!D4:D196,D16)</x:f>
        <x:v>12</x:v>
      </x:c>
      <x:c r="G16" s="24" t="n">
        <x:f>IF(F16=0,0,COUNTIFS('Atomic Tracker'!D4:D196,D16,'Atomic Tracker'!K4:K196,"Completed")/F16*100)</x:f>
        <x:v>0</x:v>
      </x:c>
    </x:row>
    <x:row r="17">
      <x:c r="A17" t="str">
        <x:v>P14 + P53 review</x:v>
      </x:c>
      <x:c r="B17" t="str">
        <x:v>Incomplete</x:v>
      </x:c>
      <x:c r="D17" t="str">
        <x:v>Research Contribution</x:v>
      </x:c>
      <x:c r="E17" t="n">
        <x:f>SUMIF('Atomic Tracker'!D4:D196,D17,'Atomic Tracker'!G4:G196)</x:f>
        <x:v>2</x:v>
      </x:c>
      <x:c r="F17" t="n">
        <x:f>COUNTIF('Atomic Tracker'!D4:D196,D17)</x:f>
        <x:v>4</x:v>
      </x:c>
      <x:c r="G17" s="24" t="n">
        <x:f>IF(F17=0,0,COUNTIFS('Atomic Tracker'!D4:D196,D17,'Atomic Tracker'!K4:K196,"Completed")/F17*100)</x:f>
        <x:v>0</x:v>
      </x:c>
    </x:row>
    <x:row r="18">
      <x:c r="A18" t="str">
        <x:v>Dataset-record synchronisation</x:v>
      </x:c>
      <x:c r="B18" t="str">
        <x:v>Incomplete</x:v>
      </x:c>
      <x:c r="D18" t="str">
        <x:v>Research Definition</x:v>
      </x:c>
      <x:c r="E18" t="n">
        <x:f>SUMIF('Atomic Tracker'!D4:D196,D18,'Atomic Tracker'!G4:G196)</x:f>
        <x:v>12</x:v>
      </x:c>
      <x:c r="F18" t="n">
        <x:f>COUNTIF('Atomic Tracker'!D4:D196,D18)</x:f>
        <x:v>12</x:v>
      </x:c>
      <x:c r="G18" s="24" t="n">
        <x:f>IF(F18=0,0,COUNTIFS('Atomic Tracker'!D4:D196,D18,'Atomic Tracker'!K4:K196,"Completed")/F18*100)</x:f>
        <x:v>0</x:v>
      </x:c>
    </x:row>
    <x:row r="19">
      <x:c r="A19" t="str">
        <x:v>Aim/RQs/Objectives</x:v>
      </x:c>
      <x:c r="B19" t="str">
        <x:v>Not formalised</x:v>
      </x:c>
      <x:c r="D19" t="str">
        <x:v>Research Design</x:v>
      </x:c>
      <x:c r="E19" t="n">
        <x:f>SUMIF('Atomic Tracker'!D4:D196,D19,'Atomic Tracker'!G4:G196)</x:f>
        <x:v>4</x:v>
      </x:c>
      <x:c r="F19" t="n">
        <x:f>COUNTIF('Atomic Tracker'!D4:D196,D19)</x:f>
        <x:v>8</x:v>
      </x:c>
      <x:c r="G19" s="24" t="n">
        <x:f>IF(F19=0,0,COUNTIFS('Atomic Tracker'!D4:D196,D19,'Atomic Tracker'!K4:K196,"Completed")/F19*100)</x:f>
        <x:v>0</x:v>
      </x:c>
    </x:row>
    <x:row r="20">
      <x:c r="A20" t="str">
        <x:v>Requirements engineering</x:v>
      </x:c>
      <x:c r="B20" t="str">
        <x:v>Not formalised</x:v>
      </x:c>
      <x:c r="D20" t="str">
        <x:v>Research Gap</x:v>
      </x:c>
      <x:c r="E20" t="n">
        <x:f>SUMIF('Atomic Tracker'!D4:D196,D20,'Atomic Tracker'!G4:G196)</x:f>
        <x:v>2</x:v>
      </x:c>
      <x:c r="F20" t="n">
        <x:f>COUNTIF('Atomic Tracker'!D4:D196,D20)</x:f>
        <x:v>2</x:v>
      </x:c>
      <x:c r="G20" s="24" t="n">
        <x:f>IF(F20=0,0,COUNTIFS('Atomic Tracker'!D4:D196,D20,'Atomic Tracker'!K4:K196,"Completed")/F20*100)</x:f>
        <x:v>0</x:v>
      </x:c>
    </x:row>
    <x:row r="21">
      <x:c r="A21" t="str">
        <x:v>Liquidity-screen experimental universe</x:v>
      </x:c>
      <x:c r="B21" t="str">
        <x:v>Not frozen</x:v>
      </x:c>
      <x:c r="D21" t="str">
        <x:v>Submission</x:v>
      </x:c>
      <x:c r="E21" t="n">
        <x:f>SUMIF('Atomic Tracker'!D4:D196,D21,'Atomic Tracker'!G4:G196)</x:f>
        <x:v>2</x:v>
      </x:c>
      <x:c r="F21" t="n">
        <x:f>COUNTIF('Atomic Tracker'!D4:D196,D21)</x:f>
        <x:v>4</x:v>
      </x:c>
      <x:c r="G21" s="24" t="n">
        <x:f>IF(F21=0,0,COUNTIFS('Atomic Tracker'!D4:D196,D21,'Atomic Tracker'!K4:K196,"Completed")/F21*100)</x:f>
        <x:v>0</x:v>
      </x:c>
    </x:row>
    <x:row r="22">
      <x:c r="A22" t="str">
        <x:v>Adaptive-orchestration PoC</x:v>
      </x:c>
      <x:c r="B22" t="str">
        <x:v>Not demonstrated</x:v>
      </x:c>
      <x:c r="D22" t="str">
        <x:v>Submission QA</x:v>
      </x:c>
      <x:c r="E22" t="n">
        <x:f>SUMIF('Atomic Tracker'!D4:D196,D22,'Atomic Tracker'!G4:G196)</x:f>
        <x:v>4</x:v>
      </x:c>
      <x:c r="F22" t="n">
        <x:f>COUNTIF('Atomic Tracker'!D4:D196,D22)</x:f>
        <x:v>8</x:v>
      </x:c>
      <x:c r="G22" s="24" t="n">
        <x:f>IF(F22=0,0,COUNTIFS('Atomic Tracker'!D4:D196,D22,'Atomic Tracker'!K4:K196,"Completed")/F22*100)</x:f>
        <x:v>0</x:v>
      </x:c>
    </x:row>
    <x:row r="25">
      <x:c r="A25" s="40" t="str">
        <x:v>Control Rule: do not add new agents, datasets, research gaps or technologies after 18 October unless current evidence proves the planned research invalid.</x:v>
      </x:c>
      <x:c r="B25" s="40"/>
      <x:c r="C25" s="40"/>
      <x:c r="D25" s="40"/>
      <x:c r="E25" s="40"/>
      <x:c r="F25" s="40"/>
      <x:c r="G25" s="40"/>
      <x:c r="H25" s="40"/>
    </x:row>
  </x:sheetData>
  <x:mergeCells>
    <x:mergeCell ref="A1:H1"/>
    <x:mergeCell ref="A15:H15"/>
    <x:mergeCell ref="A25:H25"/>
  </x:mergeCells>
  <x:pageMargins left="0.7" right="0.7" top="0.75" bottom="0.75" header="0.3" footer="0.3"/>
  <x:drawing xmlns:r="http://schemas.openxmlformats.org/officeDocument/2006/relationships" r:id="R4f0dbd3dea064267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24" hidden="0" customWidth="1"/>
    <x:col min="5" max="5" width="58" hidden="0" customWidth="1"/>
    <x:col min="6" max="6" width="36" hidden="0" customWidth="1"/>
    <x:col min="7" max="7" width="12" hidden="0" customWidth="1"/>
    <x:col min="8" max="8" width="10" hidden="0" customWidth="1"/>
    <x:col min="9" max="9" width="26" hidden="0" customWidth="1"/>
    <x:col min="10" max="10" width="24" hidden="0" customWidth="1"/>
    <x:col min="11" max="11" width="14" hidden="0" customWidth="1"/>
    <x:col min="12" max="12" width="13" hidden="0" customWidth="1"/>
    <x:col min="13" max="13" width="11" hidden="0" customWidth="1"/>
    <x:col min="14" max="14" width="15" hidden="0" customWidth="1"/>
    <x:col min="15" max="15" width="14" hidden="0" customWidth="1"/>
    <x:col min="16" max="16" width="17" hidden="0" customWidth="1"/>
    <x:col min="17" max="17" width="30" hidden="0" customWidth="1"/>
    <x:col min="18" max="18" width="34" hidden="0" customWidth="1"/>
  </x:cols>
  <x:sheetData>
    <x:row r="1">
      <x:c r="A1" s="4" t="str">
        <x:v>Revised Project Proposal Atomic Tracker — 29 Sep to 5 Nov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2" t="str">
        <x:v>Task ID</x:v>
      </x:c>
      <x:c r="B3" s="12" t="str">
        <x:v>Planned Date</x:v>
      </x:c>
      <x:c r="C3" s="12" t="str">
        <x:v>Week</x:v>
      </x:c>
      <x:c r="D3" s="12" t="str">
        <x:v>Workstream</x:v>
      </x:c>
      <x:c r="E3" s="12" t="str">
        <x:v>Atomic Task</x:v>
      </x:c>
      <x:c r="F3" s="12" t="str">
        <x:v>Required Output/Evidence</x:v>
      </x:c>
      <x:c r="G3" s="12" t="str">
        <x:v>Planned Hours</x:v>
      </x:c>
      <x:c r="H3" s="12" t="str">
        <x:v>Priority</x:v>
      </x:c>
      <x:c r="I3" s="12" t="str">
        <x:v>Dependency</x:v>
      </x:c>
      <x:c r="J3" s="12" t="str">
        <x:v>Milestone</x:v>
      </x:c>
      <x:c r="K3" s="12" t="str">
        <x:v>Status</x:v>
      </x:c>
      <x:c r="L3" s="12" t="str">
        <x:v>Completion %</x:v>
      </x:c>
      <x:c r="M3" s="12" t="str">
        <x:v>Quality /5</x:v>
      </x:c>
      <x:c r="N3" s="12" t="str">
        <x:v>Rework Required?</x:v>
      </x:c>
      <x:c r="O3" s="12" t="str">
        <x:v>Schedule Flag</x:v>
      </x:c>
      <x:c r="P3" s="12" t="str">
        <x:v>Actual Completion Date</x:v>
      </x:c>
      <x:c r="Q3" s="12" t="str">
        <x:v>Evidence / Link</x:v>
      </x:c>
      <x:c r="R3" s="12" t="str">
        <x:v>Remarks</x:v>
      </x:c>
    </x:row>
    <x:row r="4">
      <x:c r="A4" s="20" t="str">
        <x:v>T001</x:v>
      </x:c>
      <x:c r="B4" s="21" t="n">
        <x:v>46294</x:v>
      </x:c>
      <x:c r="C4" s="20" t="str">
        <x:v>Week 1</x:v>
      </x:c>
      <x:c r="D4" s="20" t="str">
        <x:v>Literature Review</x:v>
      </x:c>
      <x:c r="E4" s="20" t="str">
        <x:v>Read P53 Smart Trading Rule completely from the original paper</x:v>
      </x:c>
      <x:c r="F4" s="20" t="str">
        <x:v>Personal critical reading notes</x:v>
      </x:c>
      <x:c r="G4" s="20" t="n">
        <x:v>1</x:v>
      </x:c>
      <x:c r="H4" s="20" t="str">
        <x:v>Critical</x:v>
      </x:c>
      <x:c r="I4" s="20" t="str"/>
      <x:c r="J4" s="20" t="str"/>
      <x:c r="K4" s="20" t="str">
        <x:v>Not Started</x:v>
      </x:c>
      <x:c r="L4" s="20" t="n">
        <x:f>IF(K4="Completed",100,IF(K4="In Progress",50,0))</x:f>
        <x:v>0</x:v>
      </x:c>
      <x:c r="M4" s="20"/>
      <x:c r="N4" s="20" t="str">
        <x:f>IF(OR(K4&lt;&gt;"Completed",M4=""),"",IF(M4&lt;4.5,"YES","NO"))</x:f>
      </x:c>
      <x:c r="O4" s="20" t="str">
        <x:f>IF(K4="Completed","Done",IF(B4&lt;TODAY(),"OVERDUE",IF(B4=TODAY(),"DUE TODAY","Upcoming")))</x:f>
        <x:v>DUE TODAY</x:v>
      </x:c>
      <x:c r="P4" s="21"/>
      <x:c r="Q4" s="20" t="str"/>
      <x:c r="R4" s="20" t="str"/>
    </x:row>
    <x:row r="5">
      <x:c r="A5" s="20" t="str">
        <x:v>T002</x:v>
      </x:c>
      <x:c r="B5" s="21" t="n">
        <x:v>46294</x:v>
      </x:c>
      <x:c r="C5" s="20" t="str">
        <x:v>Week 1</x:v>
      </x:c>
      <x:c r="D5" s="20" t="str">
        <x:v>Literature Review</x:v>
      </x:c>
      <x:c r="E5" s="20" t="str">
        <x:v>Complete every field in the P53 Literature Survey row using the student's own reading</x:v>
      </x:c>
      <x:c r="F5" s="20" t="str">
        <x:v>Completed P53 matrix row</x:v>
      </x:c>
      <x:c r="G5" s="20" t="n">
        <x:v>1</x:v>
      </x:c>
      <x:c r="H5" s="20" t="str">
        <x:v>Critical</x:v>
      </x:c>
      <x:c r="I5" s="20" t="str">
        <x:v>Read P53</x:v>
      </x:c>
      <x:c r="J5" s="20" t="str"/>
      <x:c r="K5" s="20" t="str">
        <x:v>Not Started</x:v>
      </x:c>
      <x:c r="L5" s="20" t="n">
        <x:f>IF(K5="Completed",100,IF(K5="In Progress",50,0))</x:f>
        <x:v>0</x:v>
      </x:c>
      <x:c r="M5" s="20"/>
      <x:c r="N5" s="20" t="str">
        <x:f>IF(OR(K5&lt;&gt;"Completed",M5=""),"",IF(M5&lt;4.5,"YES","NO"))</x:f>
      </x:c>
      <x:c r="O5" s="20" t="str">
        <x:f>IF(K5="Completed","Done",IF(B5&lt;TODAY(),"OVERDUE",IF(B5=TODAY(),"DUE TODAY","Upcoming")))</x:f>
        <x:v>DUE TODAY</x:v>
      </x:c>
      <x:c r="P5" s="21"/>
      <x:c r="Q5" s="20" t="str"/>
      <x:c r="R5" s="20" t="str"/>
    </x:row>
    <x:row r="6">
      <x:c r="A6" s="20" t="str">
        <x:v>T003</x:v>
      </x:c>
      <x:c r="B6" s="21" t="n">
        <x:v>46295</x:v>
      </x:c>
      <x:c r="C6" s="20" t="str">
        <x:v>Week 1</x:v>
      </x:c>
      <x:c r="D6" s="20" t="str">
        <x:v>Literature Review</x:v>
      </x:c>
      <x:c r="E6" s="20" t="str">
        <x:v>Read P14 completely from the original paper</x:v>
      </x:c>
      <x:c r="F6" s="20" t="str">
        <x:v>Personal critical reading notes</x:v>
      </x:c>
      <x:c r="G6" s="20" t="n">
        <x:v>1</x:v>
      </x:c>
      <x:c r="H6" s="20" t="str">
        <x:v>Critical</x:v>
      </x:c>
      <x:c r="I6" s="20" t="str"/>
      <x:c r="J6" s="20" t="str"/>
      <x:c r="K6" s="20" t="str">
        <x:v>Not Started</x:v>
      </x:c>
      <x:c r="L6" s="20" t="n">
        <x:f>IF(K6="Completed",100,IF(K6="In Progress",50,0))</x:f>
        <x:v>0</x:v>
      </x:c>
      <x:c r="M6" s="20"/>
      <x:c r="N6" s="20" t="str">
        <x:f>IF(OR(K6&lt;&gt;"Completed",M6=""),"",IF(M6&lt;4.5,"YES","NO"))</x:f>
      </x:c>
      <x:c r="O6" s="20" t="str">
        <x:f>IF(K6="Completed","Done",IF(B6&lt;TODAY(),"OVERDUE",IF(B6=TODAY(),"DUE TODAY","Upcoming")))</x:f>
        <x:v>Upcoming</x:v>
      </x:c>
      <x:c r="P6" s="21"/>
      <x:c r="Q6" s="20" t="str"/>
      <x:c r="R6" s="20" t="str"/>
    </x:row>
    <x:row r="7">
      <x:c r="A7" s="20" t="str">
        <x:v>T004</x:v>
      </x:c>
      <x:c r="B7" s="21" t="n">
        <x:v>46295</x:v>
      </x:c>
      <x:c r="C7" s="20" t="str">
        <x:v>Week 1</x:v>
      </x:c>
      <x:c r="D7" s="20" t="str">
        <x:v>Literature Review</x:v>
      </x:c>
      <x:c r="E7" s="20" t="str">
        <x:v>Replace provisional/source-derived P14 fields with the student's own critical analysis</x:v>
      </x:c>
      <x:c r="F7" s="20" t="str">
        <x:v>Corrected P14 matrix row</x:v>
      </x:c>
      <x:c r="G7" s="20" t="n">
        <x:v>1</x:v>
      </x:c>
      <x:c r="H7" s="20" t="str">
        <x:v>Critical</x:v>
      </x:c>
      <x:c r="I7" s="20" t="str">
        <x:v>Read P14</x:v>
      </x:c>
      <x:c r="J7" s="20" t="str"/>
      <x:c r="K7" s="20" t="str">
        <x:v>Not Started</x:v>
      </x:c>
      <x:c r="L7" s="20" t="n">
        <x:f>IF(K7="Completed",100,IF(K7="In Progress",50,0))</x:f>
        <x:v>0</x:v>
      </x:c>
      <x:c r="M7" s="20"/>
      <x:c r="N7" s="20" t="str">
        <x:f>IF(OR(K7&lt;&gt;"Completed",M7=""),"",IF(M7&lt;4.5,"YES","NO"))</x:f>
      </x:c>
      <x:c r="O7" s="20" t="str">
        <x:f>IF(K7="Completed","Done",IF(B7&lt;TODAY(),"OVERDUE",IF(B7=TODAY(),"DUE TODAY","Upcoming")))</x:f>
        <x:v>Upcoming</x:v>
      </x:c>
      <x:c r="P7" s="21"/>
      <x:c r="Q7" s="20" t="str"/>
      <x:c r="R7" s="20" t="str"/>
    </x:row>
    <x:row r="8">
      <x:c r="A8" s="20" t="str">
        <x:v>T005</x:v>
      </x:c>
      <x:c r="B8" s="21" t="n">
        <x:v>46296</x:v>
      </x:c>
      <x:c r="C8" s="20" t="str">
        <x:v>Week 1</x:v>
      </x:c>
      <x:c r="D8" s="20" t="str">
        <x:v>Literature Review</x:v>
      </x:c>
      <x:c r="E8" s="20" t="str">
        <x:v>Find and record the correct venue for P26</x:v>
      </x:c>
      <x:c r="F8" s="20" t="str">
        <x:v>P26 venue completed</x:v>
      </x:c>
      <x:c r="G8" s="20" t="n">
        <x:v>0.5</x:v>
      </x:c>
      <x:c r="H8" s="20" t="str">
        <x:v>High</x:v>
      </x:c>
      <x:c r="I8" s="20" t="str"/>
      <x:c r="J8" s="20" t="str"/>
      <x:c r="K8" s="20" t="str">
        <x:v>Not Started</x:v>
      </x:c>
      <x:c r="L8" s="20" t="n">
        <x:f>IF(K8="Completed",100,IF(K8="In Progress",50,0))</x:f>
        <x:v>0</x:v>
      </x:c>
      <x:c r="M8" s="20"/>
      <x:c r="N8" s="20" t="str">
        <x:f>IF(OR(K8&lt;&gt;"Completed",M8=""),"",IF(M8&lt;4.5,"YES","NO"))</x:f>
      </x:c>
      <x:c r="O8" s="20" t="str">
        <x:f>IF(K8="Completed","Done",IF(B8&lt;TODAY(),"OVERDUE",IF(B8=TODAY(),"DUE TODAY","Upcoming")))</x:f>
        <x:v>Upcoming</x:v>
      </x:c>
      <x:c r="P8" s="21"/>
      <x:c r="Q8" s="20" t="str"/>
      <x:c r="R8" s="20" t="str"/>
    </x:row>
    <x:row r="9">
      <x:c r="A9" s="20" t="str">
        <x:v>T006</x:v>
      </x:c>
      <x:c r="B9" s="21" t="n">
        <x:v>46296</x:v>
      </x:c>
      <x:c r="C9" s="20" t="str">
        <x:v>Week 1</x:v>
      </x:c>
      <x:c r="D9" s="20" t="str">
        <x:v>Literature Review</x:v>
      </x:c>
      <x:c r="E9" s="20" t="str">
        <x:v>Find and record the correct publication year for P30</x:v>
      </x:c>
      <x:c r="F9" s="20" t="str">
        <x:v>P30 year completed</x:v>
      </x:c>
      <x:c r="G9" s="20" t="n">
        <x:v>0.5</x:v>
      </x:c>
      <x:c r="H9" s="20" t="str">
        <x:v>High</x:v>
      </x:c>
      <x:c r="I9" s="20" t="str"/>
      <x:c r="J9" s="20" t="str"/>
      <x:c r="K9" s="20" t="str">
        <x:v>Not Started</x:v>
      </x:c>
      <x:c r="L9" s="20" t="n">
        <x:f>IF(K9="Completed",100,IF(K9="In Progress",50,0))</x:f>
        <x:v>0</x:v>
      </x:c>
      <x:c r="M9" s="20"/>
      <x:c r="N9" s="20" t="str">
        <x:f>IF(OR(K9&lt;&gt;"Completed",M9=""),"",IF(M9&lt;4.5,"YES","NO"))</x:f>
      </x:c>
      <x:c r="O9" s="20" t="str">
        <x:f>IF(K9="Completed","Done",IF(B9&lt;TODAY(),"OVERDUE",IF(B9=TODAY(),"DUE TODAY","Upcoming")))</x:f>
        <x:v>Upcoming</x:v>
      </x:c>
      <x:c r="P9" s="21"/>
      <x:c r="Q9" s="20" t="str"/>
      <x:c r="R9" s="20" t="str"/>
    </x:row>
    <x:row r="10">
      <x:c r="A10" s="20" t="str">
        <x:v>T007</x:v>
      </x:c>
      <x:c r="B10" s="21" t="n">
        <x:v>46296</x:v>
      </x:c>
      <x:c r="C10" s="20" t="str">
        <x:v>Week 1</x:v>
      </x:c>
      <x:c r="D10" s="20" t="str">
        <x:v>Literature Review</x:v>
      </x:c>
      <x:c r="E10" s="20" t="str">
        <x:v>Find and record the correct venue for P30</x:v>
      </x:c>
      <x:c r="F10" s="20" t="str">
        <x:v>P30 venue completed</x:v>
      </x:c>
      <x:c r="G10" s="20" t="n">
        <x:v>0.5</x:v>
      </x:c>
      <x:c r="H10" s="20" t="str">
        <x:v>High</x:v>
      </x:c>
      <x:c r="I10" s="20" t="str"/>
      <x:c r="J10" s="20" t="str"/>
      <x:c r="K10" s="20" t="str">
        <x:v>Not Started</x:v>
      </x:c>
      <x:c r="L10" s="20" t="n">
        <x:f>IF(K10="Completed",100,IF(K10="In Progress",50,0))</x:f>
        <x:v>0</x:v>
      </x:c>
      <x:c r="M10" s="20"/>
      <x:c r="N10" s="20" t="str">
        <x:f>IF(OR(K10&lt;&gt;"Completed",M10=""),"",IF(M10&lt;4.5,"YES","NO"))</x:f>
      </x:c>
      <x:c r="O10" s="20" t="str">
        <x:f>IF(K10="Completed","Done",IF(B10&lt;TODAY(),"OVERDUE",IF(B10=TODAY(),"DUE TODAY","Upcoming")))</x:f>
        <x:v>Upcoming</x:v>
      </x:c>
      <x:c r="P10" s="21"/>
      <x:c r="Q10" s="20" t="str"/>
      <x:c r="R10" s="20" t="str"/>
    </x:row>
    <x:row r="11">
      <x:c r="A11" s="20" t="str">
        <x:v>T008</x:v>
      </x:c>
      <x:c r="B11" s="21" t="n">
        <x:v>46296</x:v>
      </x:c>
      <x:c r="C11" s="20" t="str">
        <x:v>Week 1</x:v>
      </x:c>
      <x:c r="D11" s="20" t="str">
        <x:v>Literature Review</x:v>
      </x:c>
      <x:c r="E11" s="20" t="str">
        <x:v>Find and record the correct publication year for P44</x:v>
      </x:c>
      <x:c r="F11" s="20" t="str">
        <x:v>P44 year completed</x:v>
      </x:c>
      <x:c r="G11" s="20" t="n">
        <x:v>0.5</x:v>
      </x:c>
      <x:c r="H11" s="20" t="str">
        <x:v>High</x:v>
      </x:c>
      <x:c r="I11" s="20" t="str"/>
      <x:c r="J11" s="20" t="str"/>
      <x:c r="K11" s="20" t="str">
        <x:v>Not Started</x:v>
      </x:c>
      <x:c r="L11" s="20" t="n">
        <x:f>IF(K11="Completed",100,IF(K11="In Progress",50,0))</x:f>
        <x:v>0</x:v>
      </x:c>
      <x:c r="M11" s="20"/>
      <x:c r="N11" s="20" t="str">
        <x:f>IF(OR(K11&lt;&gt;"Completed",M11=""),"",IF(M11&lt;4.5,"YES","NO"))</x:f>
      </x:c>
      <x:c r="O11" s="20" t="str">
        <x:f>IF(K11="Completed","Done",IF(B11&lt;TODAY(),"OVERDUE",IF(B11=TODAY(),"DUE TODAY","Upcoming")))</x:f>
        <x:v>Upcoming</x:v>
      </x:c>
      <x:c r="P11" s="21"/>
      <x:c r="Q11" s="20" t="str"/>
      <x:c r="R11" s="20" t="str"/>
    </x:row>
    <x:row r="12">
      <x:c r="A12" s="20" t="str">
        <x:v>T009</x:v>
      </x:c>
      <x:c r="B12" s="21" t="n">
        <x:v>46297</x:v>
      </x:c>
      <x:c r="C12" s="20" t="str">
        <x:v>Week 1</x:v>
      </x:c>
      <x:c r="D12" s="20" t="str">
        <x:v>Research Gap</x:v>
      </x:c>
      <x:c r="E12" s="20" t="str">
        <x:v>Replace every remaining absolute claim in Research Gap.md with evidence-bounded wording</x:v>
      </x:c>
      <x:c r="F12" s="20" t="str">
        <x:v>Absolute-language sweep completed</x:v>
      </x:c>
      <x:c r="G12" s="20" t="n">
        <x:v>1</x:v>
      </x:c>
      <x:c r="H12" s="20" t="str">
        <x:v>Critical</x:v>
      </x:c>
      <x:c r="I12" s="20" t="str"/>
      <x:c r="J12" s="20" t="str"/>
      <x:c r="K12" s="20" t="str">
        <x:v>In Progress</x:v>
      </x:c>
      <x:c r="L12" s="20" t="n">
        <x:f>IF(K12="Completed",100,IF(K12="In Progress",50,0))</x:f>
        <x:v>50</x:v>
      </x:c>
      <x:c r="M12" s="20"/>
      <x:c r="N12" s="20" t="str">
        <x:f>IF(OR(K12&lt;&gt;"Completed",M12=""),"",IF(M12&lt;4.5,"YES","NO"))</x:f>
      </x:c>
      <x:c r="O12" s="20" t="str">
        <x:f>IF(K12="Completed","Done",IF(B12&lt;TODAY(),"OVERDUE",IF(B12=TODAY(),"DUE TODAY","Upcoming")))</x:f>
        <x:v>Upcoming</x:v>
      </x:c>
      <x:c r="P12" s="21"/>
      <x:c r="Q12" s="20" t="str"/>
      <x:c r="R12" s="20" t="str">
        <x:v>Main gap is already strong; only final wording clean-up remains.</x:v>
      </x:c>
    </x:row>
    <x:row r="13">
      <x:c r="A13" s="20" t="str">
        <x:v>T010</x:v>
      </x:c>
      <x:c r="B13" s="21" t="n">
        <x:v>46297</x:v>
      </x:c>
      <x:c r="C13" s="20" t="str">
        <x:v>Week 1</x:v>
      </x:c>
      <x:c r="D13" s="20" t="str">
        <x:v>Research Gap</x:v>
      </x:c>
      <x:c r="E13" s="20" t="str">
        <x:v>Rewrite the CSE justification without unsupported Nasdaq/universality claims</x:v>
      </x:c>
      <x:c r="F13" s="20" t="str">
        <x:v>Evidence-based CSE justification</x:v>
      </x:c>
      <x:c r="G13" s="20" t="n">
        <x:v>1</x:v>
      </x:c>
      <x:c r="H13" s="20" t="str">
        <x:v>Critical</x:v>
      </x:c>
      <x:c r="I13" s="20" t="str"/>
      <x:c r="J13" s="20" t="str"/>
      <x:c r="K13" s="20" t="str">
        <x:v>In Progress</x:v>
      </x:c>
      <x:c r="L13" s="20" t="n">
        <x:f>IF(K13="Completed",100,IF(K13="In Progress",50,0))</x:f>
        <x:v>50</x:v>
      </x:c>
      <x:c r="M13" s="20"/>
      <x:c r="N13" s="20" t="str">
        <x:f>IF(OR(K13&lt;&gt;"Completed",M13=""),"",IF(M13&lt;4.5,"YES","NO"))</x:f>
      </x:c>
      <x:c r="O13" s="20" t="str">
        <x:f>IF(K13="Completed","Done",IF(B13&lt;TODAY(),"OVERDUE",IF(B13=TODAY(),"DUE TODAY","Upcoming")))</x:f>
        <x:v>Upcoming</x:v>
      </x:c>
      <x:c r="P13" s="21"/>
      <x:c r="Q13" s="20" t="str"/>
      <x:c r="R13" s="20" t="str"/>
    </x:row>
    <x:row r="14">
      <x:c r="A14" s="20" t="str">
        <x:v>T011</x:v>
      </x:c>
      <x:c r="B14" s="21" t="n">
        <x:v>46298</x:v>
      </x:c>
      <x:c r="C14" s="20" t="str">
        <x:v>Week 1</x:v>
      </x:c>
      <x:c r="D14" s="20" t="str">
        <x:v>Dataset</x:v>
      </x:c>
      <x:c r="E14" s="20" t="str">
        <x:v>Add the actual 270-company × 10-year OHLCV dataset to the Dataset Matrix</x:v>
      </x:c>
      <x:c r="F14" s="20" t="str">
        <x:v>Authoritative OHLCV dataset row</x:v>
      </x:c>
      <x:c r="G14" s="20" t="n">
        <x:v>1</x:v>
      </x:c>
      <x:c r="H14" s="20" t="str">
        <x:v>Critical</x:v>
      </x:c>
      <x:c r="I14" s="20" t="str"/>
      <x:c r="J14" s="20" t="str"/>
      <x:c r="K14" s="20" t="str">
        <x:v>Not Started</x:v>
      </x:c>
      <x:c r="L14" s="20" t="n">
        <x:f>IF(K14="Completed",100,IF(K14="In Progress",50,0))</x:f>
        <x:v>0</x:v>
      </x:c>
      <x:c r="M14" s="20"/>
      <x:c r="N14" s="20" t="str">
        <x:f>IF(OR(K14&lt;&gt;"Completed",M14=""),"",IF(M14&lt;4.5,"YES","NO"))</x:f>
      </x:c>
      <x:c r="O14" s="20" t="str">
        <x:f>IF(K14="Completed","Done",IF(B14&lt;TODAY(),"OVERDUE",IF(B14=TODAY(),"DUE TODAY","Upcoming")))</x:f>
        <x:v>Upcoming</x:v>
      </x:c>
      <x:c r="P14" s="21"/>
      <x:c r="Q14" s="20" t="str"/>
      <x:c r="R14" s="20" t="str"/>
    </x:row>
    <x:row r="15">
      <x:c r="A15" s="20" t="str">
        <x:v>T012</x:v>
      </x:c>
      <x:c r="B15" s="21" t="n">
        <x:v>46298</x:v>
      </x:c>
      <x:c r="C15" s="20" t="str">
        <x:v>Week 1</x:v>
      </x:c>
      <x:c r="D15" s="20" t="str">
        <x:v>Dataset</x:v>
      </x:c>
      <x:c r="E15" s="20" t="str">
        <x:v>Record the exact source and extraction method for the 10-year OHLCV dataset</x:v>
      </x:c>
      <x:c r="F15" s="20" t="str">
        <x:v>Dataset provenance completed</x:v>
      </x:c>
      <x:c r="G15" s="20" t="n">
        <x:v>1</x:v>
      </x:c>
      <x:c r="H15" s="20" t="str">
        <x:v>Critical</x:v>
      </x:c>
      <x:c r="I15" s="20" t="str">
        <x:v>Add OHLCV dataset row</x:v>
      </x:c>
      <x:c r="J15" s="20" t="str"/>
      <x:c r="K15" s="20" t="str">
        <x:v>Not Started</x:v>
      </x:c>
      <x:c r="L15" s="20" t="n">
        <x:f>IF(K15="Completed",100,IF(K15="In Progress",50,0))</x:f>
        <x:v>0</x:v>
      </x:c>
      <x:c r="M15" s="20"/>
      <x:c r="N15" s="20" t="str">
        <x:f>IF(OR(K15&lt;&gt;"Completed",M15=""),"",IF(M15&lt;4.5,"YES","NO"))</x:f>
      </x:c>
      <x:c r="O15" s="20" t="str">
        <x:f>IF(K15="Completed","Done",IF(B15&lt;TODAY(),"OVERDUE",IF(B15=TODAY(),"DUE TODAY","Upcoming")))</x:f>
        <x:v>Upcoming</x:v>
      </x:c>
      <x:c r="P15" s="21"/>
      <x:c r="Q15" s="20" t="str"/>
      <x:c r="R15" s="20" t="str"/>
    </x:row>
    <x:row r="16">
      <x:c r="A16" s="20" t="str">
        <x:v>T013</x:v>
      </x:c>
      <x:c r="B16" s="21" t="n">
        <x:v>46298</x:v>
      </x:c>
      <x:c r="C16" s="20" t="str">
        <x:v>Week 1</x:v>
      </x:c>
      <x:c r="D16" s="20" t="str">
        <x:v>Dataset</x:v>
      </x:c>
      <x:c r="E16" s="20" t="str">
        <x:v>Record exact date range, security count and observation coverage for the 10-year OHLCV dataset</x:v>
      </x:c>
      <x:c r="F16" s="20" t="str">
        <x:v>Coverage fields completed</x:v>
      </x:c>
      <x:c r="G16" s="20" t="n">
        <x:v>1</x:v>
      </x:c>
      <x:c r="H16" s="20" t="str">
        <x:v>Critical</x:v>
      </x:c>
      <x:c r="I16" s="20" t="str">
        <x:v>Add OHLCV dataset row</x:v>
      </x:c>
      <x:c r="J16" s="20" t="str"/>
      <x:c r="K16" s="20" t="str">
        <x:v>Not Started</x:v>
      </x:c>
      <x:c r="L16" s="20" t="n">
        <x:f>IF(K16="Completed",100,IF(K16="In Progress",50,0))</x:f>
        <x:v>0</x:v>
      </x:c>
      <x:c r="M16" s="20"/>
      <x:c r="N16" s="20" t="str">
        <x:f>IF(OR(K16&lt;&gt;"Completed",M16=""),"",IF(M16&lt;4.5,"YES","NO"))</x:f>
      </x:c>
      <x:c r="O16" s="20" t="str">
        <x:f>IF(K16="Completed","Done",IF(B16&lt;TODAY(),"OVERDUE",IF(B16=TODAY(),"DUE TODAY","Upcoming")))</x:f>
        <x:v>Upcoming</x:v>
      </x:c>
      <x:c r="P16" s="21"/>
      <x:c r="Q16" s="20" t="str"/>
      <x:c r="R16" s="20" t="str"/>
    </x:row>
    <x:row r="17">
      <x:c r="A17" s="20" t="str">
        <x:v>T014</x:v>
      </x:c>
      <x:c r="B17" s="21" t="n">
        <x:v>46298</x:v>
      </x:c>
      <x:c r="C17" s="20" t="str">
        <x:v>Week 1</x:v>
      </x:c>
      <x:c r="D17" s="20" t="str">
        <x:v>Dataset</x:v>
      </x:c>
      <x:c r="E17" s="20" t="str">
        <x:v>Record licence, reuse and academic-publication constraints for the 10-year OHLCV dataset</x:v>
      </x:c>
      <x:c r="F17" s="20" t="str">
        <x:v>Licence/governance fields completed</x:v>
      </x:c>
      <x:c r="G17" s="20" t="n">
        <x:v>1</x:v>
      </x:c>
      <x:c r="H17" s="20" t="str">
        <x:v>Critical</x:v>
      </x:c>
      <x:c r="I17" s="20" t="str">
        <x:v>Add OHLCV dataset row</x:v>
      </x:c>
      <x:c r="J17" s="20" t="str"/>
      <x:c r="K17" s="20" t="str">
        <x:v>Not Started</x:v>
      </x:c>
      <x:c r="L17" s="20" t="n">
        <x:f>IF(K17="Completed",100,IF(K17="In Progress",50,0))</x:f>
        <x:v>0</x:v>
      </x:c>
      <x:c r="M17" s="20"/>
      <x:c r="N17" s="20" t="str">
        <x:f>IF(OR(K17&lt;&gt;"Completed",M17=""),"",IF(M17&lt;4.5,"YES","NO"))</x:f>
      </x:c>
      <x:c r="O17" s="20" t="str">
        <x:f>IF(K17="Completed","Done",IF(B17&lt;TODAY(),"OVERDUE",IF(B17=TODAY(),"DUE TODAY","Upcoming")))</x:f>
        <x:v>Upcoming</x:v>
      </x:c>
      <x:c r="P17" s="21"/>
      <x:c r="Q17" s="20" t="str"/>
      <x:c r="R17" s="20" t="str"/>
    </x:row>
    <x:row r="18">
      <x:c r="A18" s="20" t="str">
        <x:v>T015</x:v>
      </x:c>
      <x:c r="B18" s="21" t="n">
        <x:v>46299</x:v>
      </x:c>
      <x:c r="C18" s="20" t="str">
        <x:v>Week 1</x:v>
      </x:c>
      <x:c r="D18" s="20" t="str">
        <x:v>Research Definition</x:v>
      </x:c>
      <x:c r="E18" s="20" t="str">
        <x:v>Correct the D17 reference that currently points to the wrong dataset ID</x:v>
      </x:c>
      <x:c r="F18" s="20" t="str">
        <x:v>D17 cross-reference corrected</x:v>
      </x:c>
      <x:c r="G18" s="20" t="n">
        <x:v>1</x:v>
      </x:c>
      <x:c r="H18" s="20" t="str">
        <x:v>High</x:v>
      </x:c>
      <x:c r="I18" s="20" t="str"/>
      <x:c r="J18" s="20" t="str"/>
      <x:c r="K18" s="20" t="str">
        <x:v>Not Started</x:v>
      </x:c>
      <x:c r="L18" s="20" t="n">
        <x:f>IF(K18="Completed",100,IF(K18="In Progress",50,0))</x:f>
        <x:v>0</x:v>
      </x:c>
      <x:c r="M18" s="20"/>
      <x:c r="N18" s="20" t="str">
        <x:f>IF(OR(K18&lt;&gt;"Completed",M18=""),"",IF(M18&lt;4.5,"YES","NO"))</x:f>
      </x:c>
      <x:c r="O18" s="20" t="str">
        <x:f>IF(K18="Completed","Done",IF(B18&lt;TODAY(),"OVERDUE",IF(B18=TODAY(),"DUE TODAY","Upcoming")))</x:f>
        <x:v>Upcoming</x:v>
      </x:c>
      <x:c r="P18" s="21"/>
      <x:c r="Q18" s="20" t="str"/>
      <x:c r="R18" s="20" t="str"/>
    </x:row>
    <x:row r="19">
      <x:c r="A19" s="20" t="str">
        <x:v>T016</x:v>
      </x:c>
      <x:c r="B19" s="21" t="n">
        <x:v>46299</x:v>
      </x:c>
      <x:c r="C19" s="20" t="str">
        <x:v>Week 1</x:v>
      </x:c>
      <x:c r="D19" s="20" t="str">
        <x:v>Research Definition</x:v>
      </x:c>
      <x:c r="E19" s="20" t="str">
        <x:v>Find and correct every stale D26/D31/D38 dataset reference</x:v>
      </x:c>
      <x:c r="F19" s="20" t="str">
        <x:v>All stale dataset references corrected</x:v>
      </x:c>
      <x:c r="G19" s="20" t="n">
        <x:v>1</x:v>
      </x:c>
      <x:c r="H19" s="20" t="str">
        <x:v>High</x:v>
      </x:c>
      <x:c r="I19" s="20" t="str"/>
      <x:c r="J19" s="20" t="str"/>
      <x:c r="K19" s="20" t="str">
        <x:v>Not Started</x:v>
      </x:c>
      <x:c r="L19" s="20" t="n">
        <x:f>IF(K19="Completed",100,IF(K19="In Progress",50,0))</x:f>
        <x:v>0</x:v>
      </x:c>
      <x:c r="M19" s="20"/>
      <x:c r="N19" s="20" t="str">
        <x:f>IF(OR(K19&lt;&gt;"Completed",M19=""),"",IF(M19&lt;4.5,"YES","NO"))</x:f>
      </x:c>
      <x:c r="O19" s="20" t="str">
        <x:f>IF(K19="Completed","Done",IF(B19&lt;TODAY(),"OVERDUE",IF(B19=TODAY(),"DUE TODAY","Upcoming")))</x:f>
        <x:v>Upcoming</x:v>
      </x:c>
      <x:c r="P19" s="21"/>
      <x:c r="Q19" s="20" t="str"/>
      <x:c r="R19" s="20" t="str"/>
    </x:row>
    <x:row r="20">
      <x:c r="A20" s="20" t="str">
        <x:v>T017</x:v>
      </x:c>
      <x:c r="B20" s="21" t="n">
        <x:v>46299</x:v>
      </x:c>
      <x:c r="C20" s="20" t="str">
        <x:v>Week 1</x:v>
      </x:c>
      <x:c r="D20" s="20" t="str">
        <x:v>Research Definition</x:v>
      </x:c>
      <x:c r="E20" s="20" t="str">
        <x:v>Reconcile the workbook dataset count with the progress note and establish one authoritative total</x:v>
      </x:c>
      <x:c r="F20" s="20" t="str">
        <x:v>Authoritative dataset count</x:v>
      </x:c>
      <x:c r="G20" s="20" t="n">
        <x:v>1</x:v>
      </x:c>
      <x:c r="H20" s="20" t="str">
        <x:v>High</x:v>
      </x:c>
      <x:c r="I20" s="20" t="str"/>
      <x:c r="J20" s="20" t="str"/>
      <x:c r="K20" s="20" t="str">
        <x:v>Not Started</x:v>
      </x:c>
      <x:c r="L20" s="20" t="n">
        <x:f>IF(K20="Completed",100,IF(K20="In Progress",50,0))</x:f>
        <x:v>0</x:v>
      </x:c>
      <x:c r="M20" s="20"/>
      <x:c r="N20" s="20" t="str">
        <x:f>IF(OR(K20&lt;&gt;"Completed",M20=""),"",IF(M20&lt;4.5,"YES","NO"))</x:f>
      </x:c>
      <x:c r="O20" s="20" t="str">
        <x:f>IF(K20="Completed","Done",IF(B20&lt;TODAY(),"OVERDUE",IF(B20=TODAY(),"DUE TODAY","Upcoming")))</x:f>
        <x:v>Upcoming</x:v>
      </x:c>
      <x:c r="P20" s="21"/>
      <x:c r="Q20" s="20" t="str"/>
      <x:c r="R20" s="20" t="str"/>
    </x:row>
    <x:row r="21">
      <x:c r="A21" s="20" t="str">
        <x:v>T018</x:v>
      </x:c>
      <x:c r="B21" s="21" t="n">
        <x:v>46299</x:v>
      </x:c>
      <x:c r="C21" s="20" t="str">
        <x:v>Week 1</x:v>
      </x:c>
      <x:c r="D21" s="20" t="str">
        <x:v>Research Definition</x:v>
      </x:c>
      <x:c r="E21" s="20" t="str">
        <x:v>Reconcile '53 reviewed' with the actual P14/P53 review status</x:v>
      </x:c>
      <x:c r="F21" s="20" t="str">
        <x:v>Authoritative literature-review count</x:v>
      </x:c>
      <x:c r="G21" s="20" t="n">
        <x:v>1</x:v>
      </x:c>
      <x:c r="H21" s="20" t="str">
        <x:v>High</x:v>
      </x:c>
      <x:c r="I21" s="20" t="str"/>
      <x:c r="J21" s="20" t="str"/>
      <x:c r="K21" s="20" t="str">
        <x:v>Not Started</x:v>
      </x:c>
      <x:c r="L21" s="20" t="n">
        <x:f>IF(K21="Completed",100,IF(K21="In Progress",50,0))</x:f>
        <x:v>0</x:v>
      </x:c>
      <x:c r="M21" s="20"/>
      <x:c r="N21" s="20" t="str">
        <x:f>IF(OR(K21&lt;&gt;"Completed",M21=""),"",IF(M21&lt;4.5,"YES","NO"))</x:f>
      </x:c>
      <x:c r="O21" s="20" t="str">
        <x:f>IF(K21="Completed","Done",IF(B21&lt;TODAY(),"OVERDUE",IF(B21=TODAY(),"DUE TODAY","Upcoming")))</x:f>
        <x:v>Upcoming</x:v>
      </x:c>
      <x:c r="P21" s="21"/>
      <x:c r="Q21" s="20" t="str"/>
      <x:c r="R21" s="20" t="str"/>
    </x:row>
    <x:row r="22">
      <x:c r="A22" s="20" t="str">
        <x:v>T019</x:v>
      </x:c>
      <x:c r="B22" s="21" t="n">
        <x:v>46299</x:v>
      </x:c>
      <x:c r="C22" s="20" t="str">
        <x:v>Week 1</x:v>
      </x:c>
      <x:c r="D22" s="20" t="str">
        <x:v>Research Definition</x:v>
      </x:c>
      <x:c r="E22" s="20" t="str">
        <x:v>Synchronise Research Gap.md with the Consolidated Research Matrix</x:v>
      </x:c>
      <x:c r="F22" s="20" t="str">
        <x:v>Research-gap records synchronised</x:v>
      </x:c>
      <x:c r="G22" s="20" t="n">
        <x:v>1</x:v>
      </x:c>
      <x:c r="H22" s="20" t="str">
        <x:v>High</x:v>
      </x:c>
      <x:c r="I22" s="20" t="str"/>
      <x:c r="J22" s="20" t="str"/>
      <x:c r="K22" s="20" t="str">
        <x:v>Not Started</x:v>
      </x:c>
      <x:c r="L22" s="20" t="n">
        <x:f>IF(K22="Completed",100,IF(K22="In Progress",50,0))</x:f>
        <x:v>0</x:v>
      </x:c>
      <x:c r="M22" s="20"/>
      <x:c r="N22" s="20" t="str">
        <x:f>IF(OR(K22&lt;&gt;"Completed",M22=""),"",IF(M22&lt;4.5,"YES","NO"))</x:f>
      </x:c>
      <x:c r="O22" s="20" t="str">
        <x:f>IF(K22="Completed","Done",IF(B22&lt;TODAY(),"OVERDUE",IF(B22=TODAY(),"DUE TODAY","Upcoming")))</x:f>
        <x:v>Upcoming</x:v>
      </x:c>
      <x:c r="P22" s="21"/>
      <x:c r="Q22" s="20" t="str"/>
      <x:c r="R22" s="20" t="str"/>
    </x:row>
    <x:row r="23">
      <x:c r="A23" s="20" t="str">
        <x:v>T020</x:v>
      </x:c>
      <x:c r="B23" s="21" t="n">
        <x:v>46299</x:v>
      </x:c>
      <x:c r="C23" s="20" t="str">
        <x:v>Week 1</x:v>
      </x:c>
      <x:c r="D23" s="20" t="str">
        <x:v>Research Definition</x:v>
      </x:c>
      <x:c r="E23" s="20" t="str">
        <x:v>Synchronise Temp Progress Update.md with the Consolidated Research Matrix</x:v>
      </x:c>
      <x:c r="F23" s="20" t="str">
        <x:v>Progress records synchronised</x:v>
      </x:c>
      <x:c r="G23" s="20" t="n">
        <x:v>1</x:v>
      </x:c>
      <x:c r="H23" s="20" t="str">
        <x:v>High</x:v>
      </x:c>
      <x:c r="I23" s="20" t="str"/>
      <x:c r="J23" s="20" t="str"/>
      <x:c r="K23" s="20" t="str">
        <x:v>Not Started</x:v>
      </x:c>
      <x:c r="L23" s="20" t="n">
        <x:f>IF(K23="Completed",100,IF(K23="In Progress",50,0))</x:f>
        <x:v>0</x:v>
      </x:c>
      <x:c r="M23" s="20"/>
      <x:c r="N23" s="20" t="str">
        <x:f>IF(OR(K23&lt;&gt;"Completed",M23=""),"",IF(M23&lt;4.5,"YES","NO"))</x:f>
      </x:c>
      <x:c r="O23" s="20" t="str">
        <x:f>IF(K23="Completed","Done",IF(B23&lt;TODAY(),"OVERDUE",IF(B23=TODAY(),"DUE TODAY","Upcoming")))</x:f>
        <x:v>Upcoming</x:v>
      </x:c>
      <x:c r="P23" s="21"/>
      <x:c r="Q23" s="20" t="str"/>
      <x:c r="R23" s="20" t="str"/>
    </x:row>
    <x:row r="24">
      <x:c r="A24" s="20" t="str">
        <x:v>T021</x:v>
      </x:c>
      <x:c r="B24" s="21" t="n">
        <x:v>46299</x:v>
      </x:c>
      <x:c r="C24" s="20" t="str">
        <x:v>Week 1</x:v>
      </x:c>
      <x:c r="D24" s="20" t="str">
        <x:v>Research Definition</x:v>
      </x:c>
      <x:c r="E24" s="20" t="str">
        <x:v>Write the final Task statement</x:v>
      </x:c>
      <x:c r="F24" s="20" t="str">
        <x:v>Task statement v1.0</x:v>
      </x:c>
      <x:c r="G24" s="20" t="n">
        <x:v>1</x:v>
      </x:c>
      <x:c r="H24" s="20" t="str">
        <x:v>High</x:v>
      </x:c>
      <x:c r="I24" s="20" t="str"/>
      <x:c r="J24" s="20" t="str"/>
      <x:c r="K24" s="20" t="str">
        <x:v>Not Started</x:v>
      </x:c>
      <x:c r="L24" s="20" t="n">
        <x:f>IF(K24="Completed",100,IF(K24="In Progress",50,0))</x:f>
        <x:v>0</x:v>
      </x:c>
      <x:c r="M24" s="20"/>
      <x:c r="N24" s="20" t="str">
        <x:f>IF(OR(K24&lt;&gt;"Completed",M24=""),"",IF(M24&lt;4.5,"YES","NO"))</x:f>
      </x:c>
      <x:c r="O24" s="20" t="str">
        <x:f>IF(K24="Completed","Done",IF(B24&lt;TODAY(),"OVERDUE",IF(B24=TODAY(),"DUE TODAY","Upcoming")))</x:f>
        <x:v>Upcoming</x:v>
      </x:c>
      <x:c r="P24" s="21"/>
      <x:c r="Q24" s="20" t="str"/>
      <x:c r="R24" s="20" t="str"/>
    </x:row>
    <x:row r="25">
      <x:c r="A25" s="20" t="str">
        <x:v>T022</x:v>
      </x:c>
      <x:c r="B25" s="21" t="n">
        <x:v>46299</x:v>
      </x:c>
      <x:c r="C25" s="20" t="str">
        <x:v>Week 1</x:v>
      </x:c>
      <x:c r="D25" s="20" t="str">
        <x:v>Research Definition</x:v>
      </x:c>
      <x:c r="E25" s="20" t="str">
        <x:v>Write the final Domain statement</x:v>
      </x:c>
      <x:c r="F25" s="20" t="str">
        <x:v>Domain statement v1.0</x:v>
      </x:c>
      <x:c r="G25" s="20" t="n">
        <x:v>1</x:v>
      </x:c>
      <x:c r="H25" s="20" t="str">
        <x:v>High</x:v>
      </x:c>
      <x:c r="I25" s="20" t="str"/>
      <x:c r="J25" s="20" t="str"/>
      <x:c r="K25" s="20" t="str">
        <x:v>Not Started</x:v>
      </x:c>
      <x:c r="L25" s="20" t="n">
        <x:f>IF(K25="Completed",100,IF(K25="In Progress",50,0))</x:f>
        <x:v>0</x:v>
      </x:c>
      <x:c r="M25" s="20"/>
      <x:c r="N25" s="20" t="str">
        <x:f>IF(OR(K25&lt;&gt;"Completed",M25=""),"",IF(M25&lt;4.5,"YES","NO"))</x:f>
      </x:c>
      <x:c r="O25" s="20" t="str">
        <x:f>IF(K25="Completed","Done",IF(B25&lt;TODAY(),"OVERDUE",IF(B25=TODAY(),"DUE TODAY","Upcoming")))</x:f>
        <x:v>Upcoming</x:v>
      </x:c>
      <x:c r="P25" s="21"/>
      <x:c r="Q25" s="20" t="str"/>
      <x:c r="R25" s="20" t="str"/>
    </x:row>
    <x:row r="26">
      <x:c r="A26" s="20" t="str">
        <x:v>T023</x:v>
      </x:c>
      <x:c r="B26" s="21" t="n">
        <x:v>46299</x:v>
      </x:c>
      <x:c r="C26" s="20" t="str">
        <x:v>Week 1</x:v>
      </x:c>
      <x:c r="D26" s="20" t="str">
        <x:v>Research Definition</x:v>
      </x:c>
      <x:c r="E26" s="20" t="str">
        <x:v>Write the final Constraints statement</x:v>
      </x:c>
      <x:c r="F26" s="20" t="str">
        <x:v>Constraints statement v1.0</x:v>
      </x:c>
      <x:c r="G26" s="20" t="n">
        <x:v>1</x:v>
      </x:c>
      <x:c r="H26" s="20" t="str">
        <x:v>High</x:v>
      </x:c>
      <x:c r="I26" s="20" t="str"/>
      <x:c r="J26" s="20" t="str"/>
      <x:c r="K26" s="20" t="str">
        <x:v>Not Started</x:v>
      </x:c>
      <x:c r="L26" s="20" t="n">
        <x:f>IF(K26="Completed",100,IF(K26="In Progress",50,0))</x:f>
        <x:v>0</x:v>
      </x:c>
      <x:c r="M26" s="20"/>
      <x:c r="N26" s="20" t="str">
        <x:f>IF(OR(K26&lt;&gt;"Completed",M26=""),"",IF(M26&lt;4.5,"YES","NO"))</x:f>
      </x:c>
      <x:c r="O26" s="20" t="str">
        <x:f>IF(K26="Completed","Done",IF(B26&lt;TODAY(),"OVERDUE",IF(B26=TODAY(),"DUE TODAY","Upcoming")))</x:f>
        <x:v>Upcoming</x:v>
      </x:c>
      <x:c r="P26" s="21"/>
      <x:c r="Q26" s="20" t="str"/>
      <x:c r="R26" s="20" t="str"/>
    </x:row>
    <x:row r="27">
      <x:c r="A27" s="20" t="str">
        <x:v>T024</x:v>
      </x:c>
      <x:c r="B27" s="21" t="n">
        <x:v>46299</x:v>
      </x:c>
      <x:c r="C27" s="20" t="str">
        <x:v>Week 1</x:v>
      </x:c>
      <x:c r="D27" s="20" t="str">
        <x:v>Research Definition</x:v>
      </x:c>
      <x:c r="E27" s="20" t="str">
        <x:v>Write the final main research-gap paragraph</x:v>
      </x:c>
      <x:c r="F27" s="20" t="str">
        <x:v>Main gap v1.0</x:v>
      </x:c>
      <x:c r="G27" s="20" t="n">
        <x:v>1</x:v>
      </x:c>
      <x:c r="H27" s="20" t="str">
        <x:v>High</x:v>
      </x:c>
      <x:c r="I27" s="20" t="str"/>
      <x:c r="J27" s="20" t="str"/>
      <x:c r="K27" s="20" t="str">
        <x:v>Not Started</x:v>
      </x:c>
      <x:c r="L27" s="20" t="n">
        <x:f>IF(K27="Completed",100,IF(K27="In Progress",50,0))</x:f>
        <x:v>0</x:v>
      </x:c>
      <x:c r="M27" s="20"/>
      <x:c r="N27" s="20" t="str">
        <x:f>IF(OR(K27&lt;&gt;"Completed",M27=""),"",IF(M27&lt;4.5,"YES","NO"))</x:f>
      </x:c>
      <x:c r="O27" s="20" t="str">
        <x:f>IF(K27="Completed","Done",IF(B27&lt;TODAY(),"OVERDUE",IF(B27=TODAY(),"DUE TODAY","Upcoming")))</x:f>
        <x:v>Upcoming</x:v>
      </x:c>
      <x:c r="P27" s="21"/>
      <x:c r="Q27" s="20" t="str"/>
      <x:c r="R27" s="20" t="str"/>
    </x:row>
    <x:row r="28">
      <x:c r="A28" s="20" t="str">
        <x:v>T025</x:v>
      </x:c>
      <x:c r="B28" s="21" t="n">
        <x:v>46299</x:v>
      </x:c>
      <x:c r="C28" s="20" t="str">
        <x:v>Week 1</x:v>
      </x:c>
      <x:c r="D28" s="20" t="str">
        <x:v>Research Definition</x:v>
      </x:c>
      <x:c r="E28" s="20" t="str">
        <x:v>Write the final Sub-gap 1 paragraph</x:v>
      </x:c>
      <x:c r="F28" s="20" t="str">
        <x:v>Sub-gap 1 v1.0</x:v>
      </x:c>
      <x:c r="G28" s="20" t="n">
        <x:v>1</x:v>
      </x:c>
      <x:c r="H28" s="20" t="str">
        <x:v>High</x:v>
      </x:c>
      <x:c r="I28" s="20" t="str"/>
      <x:c r="J28" s="20" t="str"/>
      <x:c r="K28" s="20" t="str">
        <x:v>Not Started</x:v>
      </x:c>
      <x:c r="L28" s="20" t="n">
        <x:f>IF(K28="Completed",100,IF(K28="In Progress",50,0))</x:f>
        <x:v>0</x:v>
      </x:c>
      <x:c r="M28" s="20"/>
      <x:c r="N28" s="20" t="str">
        <x:f>IF(OR(K28&lt;&gt;"Completed",M28=""),"",IF(M28&lt;4.5,"YES","NO"))</x:f>
      </x:c>
      <x:c r="O28" s="20" t="str">
        <x:f>IF(K28="Completed","Done",IF(B28&lt;TODAY(),"OVERDUE",IF(B28=TODAY(),"DUE TODAY","Upcoming")))</x:f>
        <x:v>Upcoming</x:v>
      </x:c>
      <x:c r="P28" s="21"/>
      <x:c r="Q28" s="20" t="str"/>
      <x:c r="R28" s="20" t="str"/>
    </x:row>
    <x:row r="29">
      <x:c r="A29" s="20" t="str">
        <x:v>T026</x:v>
      </x:c>
      <x:c r="B29" s="21" t="n">
        <x:v>46299</x:v>
      </x:c>
      <x:c r="C29" s="20" t="str">
        <x:v>Week 1</x:v>
      </x:c>
      <x:c r="D29" s="20" t="str">
        <x:v>Research Definition</x:v>
      </x:c>
      <x:c r="E29" s="20" t="str">
        <x:v>Write the final Sub-gap 2 paragraph</x:v>
      </x:c>
      <x:c r="F29" s="20" t="str">
        <x:v>Sub-gap 2 v1.0</x:v>
      </x:c>
      <x:c r="G29" s="20" t="n">
        <x:v>1</x:v>
      </x:c>
      <x:c r="H29" s="20" t="str">
        <x:v>High</x:v>
      </x:c>
      <x:c r="I29" s="20" t="str"/>
      <x:c r="J29" s="20" t="str">
        <x:v>Research foundation frozen</x:v>
      </x:c>
      <x:c r="K29" s="20" t="str">
        <x:v>Not Started</x:v>
      </x:c>
      <x:c r="L29" s="20" t="n">
        <x:f>IF(K29="Completed",100,IF(K29="In Progress",50,0))</x:f>
        <x:v>0</x:v>
      </x:c>
      <x:c r="M29" s="20"/>
      <x:c r="N29" s="20" t="str">
        <x:f>IF(OR(K29&lt;&gt;"Completed",M29=""),"",IF(M29&lt;4.5,"YES","NO"))</x:f>
      </x:c>
      <x:c r="O29" s="20" t="str">
        <x:f>IF(K29="Completed","Done",IF(B29&lt;TODAY(),"OVERDUE",IF(B29=TODAY(),"DUE TODAY","Upcoming")))</x:f>
        <x:v>Upcoming</x:v>
      </x:c>
      <x:c r="P29" s="21"/>
      <x:c r="Q29" s="20" t="str"/>
      <x:c r="R29" s="20" t="str"/>
    </x:row>
    <x:row r="30">
      <x:c r="A30" s="20" t="str">
        <x:v>T027</x:v>
      </x:c>
      <x:c r="B30" s="21" t="n">
        <x:v>46301</x:v>
      </x:c>
      <x:c r="C30" s="20" t="str">
        <x:v>Week 2</x:v>
      </x:c>
      <x:c r="D30" s="20" t="str">
        <x:v>Research Design</x:v>
      </x:c>
      <x:c r="E30" s="20" t="str">
        <x:v>Write the final Research Aim</x:v>
      </x:c>
      <x:c r="F30" s="20" t="str">
        <x:v>Research Aim v1.0</x:v>
      </x:c>
      <x:c r="G30" s="20" t="n">
        <x:v>0.5</x:v>
      </x:c>
      <x:c r="H30" s="20" t="str">
        <x:v>Critical</x:v>
      </x:c>
      <x:c r="I30" s="20" t="str"/>
      <x:c r="J30" s="20" t="str"/>
      <x:c r="K30" s="20" t="str">
        <x:v>Not Started</x:v>
      </x:c>
      <x:c r="L30" s="20" t="n">
        <x:f>IF(K30="Completed",100,IF(K30="In Progress",50,0))</x:f>
        <x:v>0</x:v>
      </x:c>
      <x:c r="M30" s="20"/>
      <x:c r="N30" s="20" t="str">
        <x:f>IF(OR(K30&lt;&gt;"Completed",M30=""),"",IF(M30&lt;4.5,"YES","NO"))</x:f>
      </x:c>
      <x:c r="O30" s="20" t="str">
        <x:f>IF(K30="Completed","Done",IF(B30&lt;TODAY(),"OVERDUE",IF(B30=TODAY(),"DUE TODAY","Upcoming")))</x:f>
        <x:v>Upcoming</x:v>
      </x:c>
      <x:c r="P30" s="21"/>
      <x:c r="Q30" s="20" t="str"/>
      <x:c r="R30" s="20" t="str"/>
    </x:row>
    <x:row r="31">
      <x:c r="A31" s="20" t="str">
        <x:v>T028</x:v>
      </x:c>
      <x:c r="B31" s="21" t="n">
        <x:v>46301</x:v>
      </x:c>
      <x:c r="C31" s="20" t="str">
        <x:v>Week 2</x:v>
      </x:c>
      <x:c r="D31" s="20" t="str">
        <x:v>Research Design</x:v>
      </x:c>
      <x:c r="E31" s="20" t="str">
        <x:v>Write RQ1 for the adaptive orchestration contribution</x:v>
      </x:c>
      <x:c r="F31" s="20" t="str">
        <x:v>RQ1</x:v>
      </x:c>
      <x:c r="G31" s="20" t="n">
        <x:v>0.5</x:v>
      </x:c>
      <x:c r="H31" s="20" t="str">
        <x:v>Critical</x:v>
      </x:c>
      <x:c r="I31" s="20" t="str"/>
      <x:c r="J31" s="20" t="str"/>
      <x:c r="K31" s="20" t="str">
        <x:v>Not Started</x:v>
      </x:c>
      <x:c r="L31" s="20" t="n">
        <x:f>IF(K31="Completed",100,IF(K31="In Progress",50,0))</x:f>
        <x:v>0</x:v>
      </x:c>
      <x:c r="M31" s="20"/>
      <x:c r="N31" s="20" t="str">
        <x:f>IF(OR(K31&lt;&gt;"Completed",M31=""),"",IF(M31&lt;4.5,"YES","NO"))</x:f>
      </x:c>
      <x:c r="O31" s="20" t="str">
        <x:f>IF(K31="Completed","Done",IF(B31&lt;TODAY(),"OVERDUE",IF(B31=TODAY(),"DUE TODAY","Upcoming")))</x:f>
        <x:v>Upcoming</x:v>
      </x:c>
      <x:c r="P31" s="21"/>
      <x:c r="Q31" s="20" t="str"/>
      <x:c r="R31" s="20" t="str"/>
    </x:row>
    <x:row r="32">
      <x:c r="A32" s="20" t="str">
        <x:v>T029</x:v>
      </x:c>
      <x:c r="B32" s="21" t="n">
        <x:v>46301</x:v>
      </x:c>
      <x:c r="C32" s="20" t="str">
        <x:v>Week 2</x:v>
      </x:c>
      <x:c r="D32" s="20" t="str">
        <x:v>Research Design</x:v>
      </x:c>
      <x:c r="E32" s="20" t="str">
        <x:v>Write RQ2 for liquidity/execution effects</x:v>
      </x:c>
      <x:c r="F32" s="20" t="str">
        <x:v>RQ2</x:v>
      </x:c>
      <x:c r="G32" s="20" t="n">
        <x:v>0.5</x:v>
      </x:c>
      <x:c r="H32" s="20" t="str">
        <x:v>Critical</x:v>
      </x:c>
      <x:c r="I32" s="20" t="str"/>
      <x:c r="J32" s="20" t="str"/>
      <x:c r="K32" s="20" t="str">
        <x:v>Not Started</x:v>
      </x:c>
      <x:c r="L32" s="20" t="n">
        <x:f>IF(K32="Completed",100,IF(K32="In Progress",50,0))</x:f>
        <x:v>0</x:v>
      </x:c>
      <x:c r="M32" s="20"/>
      <x:c r="N32" s="20" t="str">
        <x:f>IF(OR(K32&lt;&gt;"Completed",M32=""),"",IF(M32&lt;4.5,"YES","NO"))</x:f>
      </x:c>
      <x:c r="O32" s="20" t="str">
        <x:f>IF(K32="Completed","Done",IF(B32&lt;TODAY(),"OVERDUE",IF(B32=TODAY(),"DUE TODAY","Upcoming")))</x:f>
        <x:v>Upcoming</x:v>
      </x:c>
      <x:c r="P32" s="21"/>
      <x:c r="Q32" s="20" t="str"/>
      <x:c r="R32" s="20" t="str"/>
    </x:row>
    <x:row r="33">
      <x:c r="A33" s="20" t="str">
        <x:v>T030</x:v>
      </x:c>
      <x:c r="B33" s="21" t="n">
        <x:v>46301</x:v>
      </x:c>
      <x:c r="C33" s="20" t="str">
        <x:v>Week 2</x:v>
      </x:c>
      <x:c r="D33" s="20" t="str">
        <x:v>Research Design</x:v>
      </x:c>
      <x:c r="E33" s="20" t="str">
        <x:v>Write RQ3 for volatility persistence only if it is independently testable</x:v>
      </x:c>
      <x:c r="F33" s="20" t="str">
        <x:v>RQ3 or documented decision to omit</x:v>
      </x:c>
      <x:c r="G33" s="20" t="n">
        <x:v>0.5</x:v>
      </x:c>
      <x:c r="H33" s="20" t="str">
        <x:v>Critical</x:v>
      </x:c>
      <x:c r="I33" s="20" t="str"/>
      <x:c r="J33" s="20" t="str"/>
      <x:c r="K33" s="20" t="str">
        <x:v>Not Started</x:v>
      </x:c>
      <x:c r="L33" s="20" t="n">
        <x:f>IF(K33="Completed",100,IF(K33="In Progress",50,0))</x:f>
        <x:v>0</x:v>
      </x:c>
      <x:c r="M33" s="20"/>
      <x:c r="N33" s="20" t="str">
        <x:f>IF(OR(K33&lt;&gt;"Completed",M33=""),"",IF(M33&lt;4.5,"YES","NO"))</x:f>
      </x:c>
      <x:c r="O33" s="20" t="str">
        <x:f>IF(K33="Completed","Done",IF(B33&lt;TODAY(),"OVERDUE",IF(B33=TODAY(),"DUE TODAY","Upcoming")))</x:f>
        <x:v>Upcoming</x:v>
      </x:c>
      <x:c r="P33" s="21"/>
      <x:c r="Q33" s="20" t="str"/>
      <x:c r="R33" s="20" t="str"/>
    </x:row>
    <x:row r="34">
      <x:c r="A34" s="20" t="str">
        <x:v>T031</x:v>
      </x:c>
      <x:c r="B34" s="21" t="n">
        <x:v>46302</x:v>
      </x:c>
      <x:c r="C34" s="20" t="str">
        <x:v>Week 2</x:v>
      </x:c>
      <x:c r="D34" s="20" t="str">
        <x:v>Research Design</x:v>
      </x:c>
      <x:c r="E34" s="20" t="str">
        <x:v>Write Objective 1 and map it to an RQ</x:v>
      </x:c>
      <x:c r="F34" s="20" t="str">
        <x:v>Objective 1 mapping</x:v>
      </x:c>
      <x:c r="G34" s="20" t="n">
        <x:v>0.5</x:v>
      </x:c>
      <x:c r="H34" s="20" t="str">
        <x:v>High</x:v>
      </x:c>
      <x:c r="I34" s="20" t="str"/>
      <x:c r="J34" s="20" t="str"/>
      <x:c r="K34" s="20" t="str">
        <x:v>Not Started</x:v>
      </x:c>
      <x:c r="L34" s="20" t="n">
        <x:f>IF(K34="Completed",100,IF(K34="In Progress",50,0))</x:f>
        <x:v>0</x:v>
      </x:c>
      <x:c r="M34" s="20"/>
      <x:c r="N34" s="20" t="str">
        <x:f>IF(OR(K34&lt;&gt;"Completed",M34=""),"",IF(M34&lt;4.5,"YES","NO"))</x:f>
      </x:c>
      <x:c r="O34" s="20" t="str">
        <x:f>IF(K34="Completed","Done",IF(B34&lt;TODAY(),"OVERDUE",IF(B34=TODAY(),"DUE TODAY","Upcoming")))</x:f>
        <x:v>Upcoming</x:v>
      </x:c>
      <x:c r="P34" s="21"/>
      <x:c r="Q34" s="20" t="str"/>
      <x:c r="R34" s="20" t="str"/>
    </x:row>
    <x:row r="35">
      <x:c r="A35" s="20" t="str">
        <x:v>T032</x:v>
      </x:c>
      <x:c r="B35" s="21" t="n">
        <x:v>46302</x:v>
      </x:c>
      <x:c r="C35" s="20" t="str">
        <x:v>Week 2</x:v>
      </x:c>
      <x:c r="D35" s="20" t="str">
        <x:v>Research Design</x:v>
      </x:c>
      <x:c r="E35" s="20" t="str">
        <x:v>Write Objective 2 and map it to an RQ</x:v>
      </x:c>
      <x:c r="F35" s="20" t="str">
        <x:v>Objective 2 mapping</x:v>
      </x:c>
      <x:c r="G35" s="20" t="n">
        <x:v>0.5</x:v>
      </x:c>
      <x:c r="H35" s="20" t="str">
        <x:v>High</x:v>
      </x:c>
      <x:c r="I35" s="20" t="str"/>
      <x:c r="J35" s="20" t="str"/>
      <x:c r="K35" s="20" t="str">
        <x:v>Not Started</x:v>
      </x:c>
      <x:c r="L35" s="20" t="n">
        <x:f>IF(K35="Completed",100,IF(K35="In Progress",50,0))</x:f>
        <x:v>0</x:v>
      </x:c>
      <x:c r="M35" s="20"/>
      <x:c r="N35" s="20" t="str">
        <x:f>IF(OR(K35&lt;&gt;"Completed",M35=""),"",IF(M35&lt;4.5,"YES","NO"))</x:f>
      </x:c>
      <x:c r="O35" s="20" t="str">
        <x:f>IF(K35="Completed","Done",IF(B35&lt;TODAY(),"OVERDUE",IF(B35=TODAY(),"DUE TODAY","Upcoming")))</x:f>
        <x:v>Upcoming</x:v>
      </x:c>
      <x:c r="P35" s="21"/>
      <x:c r="Q35" s="20" t="str"/>
      <x:c r="R35" s="20" t="str"/>
    </x:row>
    <x:row r="36">
      <x:c r="A36" s="20" t="str">
        <x:v>T033</x:v>
      </x:c>
      <x:c r="B36" s="21" t="n">
        <x:v>46302</x:v>
      </x:c>
      <x:c r="C36" s="20" t="str">
        <x:v>Week 2</x:v>
      </x:c>
      <x:c r="D36" s="20" t="str">
        <x:v>Research Design</x:v>
      </x:c>
      <x:c r="E36" s="20" t="str">
        <x:v>Write Objective 3 and map it to an RQ</x:v>
      </x:c>
      <x:c r="F36" s="20" t="str">
        <x:v>Objective 3 mapping</x:v>
      </x:c>
      <x:c r="G36" s="20" t="n">
        <x:v>0.5</x:v>
      </x:c>
      <x:c r="H36" s="20" t="str">
        <x:v>High</x:v>
      </x:c>
      <x:c r="I36" s="20" t="str"/>
      <x:c r="J36" s="20" t="str"/>
      <x:c r="K36" s="20" t="str">
        <x:v>Not Started</x:v>
      </x:c>
      <x:c r="L36" s="20" t="n">
        <x:f>IF(K36="Completed",100,IF(K36="In Progress",50,0))</x:f>
        <x:v>0</x:v>
      </x:c>
      <x:c r="M36" s="20"/>
      <x:c r="N36" s="20" t="str">
        <x:f>IF(OR(K36&lt;&gt;"Completed",M36=""),"",IF(M36&lt;4.5,"YES","NO"))</x:f>
      </x:c>
      <x:c r="O36" s="20" t="str">
        <x:f>IF(K36="Completed","Done",IF(B36&lt;TODAY(),"OVERDUE",IF(B36=TODAY(),"DUE TODAY","Upcoming")))</x:f>
        <x:v>Upcoming</x:v>
      </x:c>
      <x:c r="P36" s="21"/>
      <x:c r="Q36" s="20" t="str"/>
      <x:c r="R36" s="20" t="str"/>
    </x:row>
    <x:row r="37">
      <x:c r="A37" s="20" t="str">
        <x:v>T034</x:v>
      </x:c>
      <x:c r="B37" s="21" t="n">
        <x:v>46302</x:v>
      </x:c>
      <x:c r="C37" s="20" t="str">
        <x:v>Week 2</x:v>
      </x:c>
      <x:c r="D37" s="20" t="str">
        <x:v>Research Design</x:v>
      </x:c>
      <x:c r="E37" s="20" t="str">
        <x:v>Remove any objective that does not directly support an RQ, artefact or evaluation need</x:v>
      </x:c>
      <x:c r="F37" s="20" t="str">
        <x:v>Final objective set</x:v>
      </x:c>
      <x:c r="G37" s="20" t="n">
        <x:v>0.5</x:v>
      </x:c>
      <x:c r="H37" s="20" t="str">
        <x:v>High</x:v>
      </x:c>
      <x:c r="I37" s="20" t="str"/>
      <x:c r="J37" s="20" t="str"/>
      <x:c r="K37" s="20" t="str">
        <x:v>Not Started</x:v>
      </x:c>
      <x:c r="L37" s="20" t="n">
        <x:f>IF(K37="Completed",100,IF(K37="In Progress",50,0))</x:f>
        <x:v>0</x:v>
      </x:c>
      <x:c r="M37" s="20"/>
      <x:c r="N37" s="20" t="str">
        <x:f>IF(OR(K37&lt;&gt;"Completed",M37=""),"",IF(M37&lt;4.5,"YES","NO"))</x:f>
      </x:c>
      <x:c r="O37" s="20" t="str">
        <x:f>IF(K37="Completed","Done",IF(B37&lt;TODAY(),"OVERDUE",IF(B37=TODAY(),"DUE TODAY","Upcoming")))</x:f>
        <x:v>Upcoming</x:v>
      </x:c>
      <x:c r="P37" s="21"/>
      <x:c r="Q37" s="20" t="str"/>
      <x:c r="R37" s="20" t="str"/>
    </x:row>
    <x:row r="38">
      <x:c r="A38" s="20" t="str">
        <x:v>T035</x:v>
      </x:c>
      <x:c r="B38" s="21" t="n">
        <x:v>46303</x:v>
      </x:c>
      <x:c r="C38" s="20" t="str">
        <x:v>Week 2</x:v>
      </x:c>
      <x:c r="D38" s="20" t="str">
        <x:v>Evaluation Design</x:v>
      </x:c>
      <x:c r="E38" s="20" t="str">
        <x:v>Define one measurable success criterion for RQ1</x:v>
      </x:c>
      <x:c r="F38" s="20" t="str">
        <x:v>RQ1 success criterion</x:v>
      </x:c>
      <x:c r="G38" s="20" t="n">
        <x:v>0.5</x:v>
      </x:c>
      <x:c r="H38" s="20" t="str">
        <x:v>High</x:v>
      </x:c>
      <x:c r="I38" s="20" t="str"/>
      <x:c r="J38" s="20" t="str"/>
      <x:c r="K38" s="20" t="str">
        <x:v>Not Started</x:v>
      </x:c>
      <x:c r="L38" s="20" t="n">
        <x:f>IF(K38="Completed",100,IF(K38="In Progress",50,0))</x:f>
        <x:v>0</x:v>
      </x:c>
      <x:c r="M38" s="20"/>
      <x:c r="N38" s="20" t="str">
        <x:f>IF(OR(K38&lt;&gt;"Completed",M38=""),"",IF(M38&lt;4.5,"YES","NO"))</x:f>
      </x:c>
      <x:c r="O38" s="20" t="str">
        <x:f>IF(K38="Completed","Done",IF(B38&lt;TODAY(),"OVERDUE",IF(B38=TODAY(),"DUE TODAY","Upcoming")))</x:f>
        <x:v>Upcoming</x:v>
      </x:c>
      <x:c r="P38" s="21"/>
      <x:c r="Q38" s="20" t="str"/>
      <x:c r="R38" s="20" t="str"/>
    </x:row>
    <x:row r="39">
      <x:c r="A39" s="20" t="str">
        <x:v>T036</x:v>
      </x:c>
      <x:c r="B39" s="21" t="n">
        <x:v>46303</x:v>
      </x:c>
      <x:c r="C39" s="20" t="str">
        <x:v>Week 2</x:v>
      </x:c>
      <x:c r="D39" s="20" t="str">
        <x:v>Evaluation Design</x:v>
      </x:c>
      <x:c r="E39" s="20" t="str">
        <x:v>Define one measurable success criterion for RQ2</x:v>
      </x:c>
      <x:c r="F39" s="20" t="str">
        <x:v>RQ2 success criterion</x:v>
      </x:c>
      <x:c r="G39" s="20" t="n">
        <x:v>0.5</x:v>
      </x:c>
      <x:c r="H39" s="20" t="str">
        <x:v>High</x:v>
      </x:c>
      <x:c r="I39" s="20" t="str"/>
      <x:c r="J39" s="20" t="str"/>
      <x:c r="K39" s="20" t="str">
        <x:v>Not Started</x:v>
      </x:c>
      <x:c r="L39" s="20" t="n">
        <x:f>IF(K39="Completed",100,IF(K39="In Progress",50,0))</x:f>
        <x:v>0</x:v>
      </x:c>
      <x:c r="M39" s="20"/>
      <x:c r="N39" s="20" t="str">
        <x:f>IF(OR(K39&lt;&gt;"Completed",M39=""),"",IF(M39&lt;4.5,"YES","NO"))</x:f>
      </x:c>
      <x:c r="O39" s="20" t="str">
        <x:f>IF(K39="Completed","Done",IF(B39&lt;TODAY(),"OVERDUE",IF(B39=TODAY(),"DUE TODAY","Upcoming")))</x:f>
        <x:v>Upcoming</x:v>
      </x:c>
      <x:c r="P39" s="21"/>
      <x:c r="Q39" s="20" t="str"/>
      <x:c r="R39" s="20" t="str"/>
    </x:row>
    <x:row r="40">
      <x:c r="A40" s="20" t="str">
        <x:v>T037</x:v>
      </x:c>
      <x:c r="B40" s="21" t="n">
        <x:v>46303</x:v>
      </x:c>
      <x:c r="C40" s="20" t="str">
        <x:v>Week 2</x:v>
      </x:c>
      <x:c r="D40" s="20" t="str">
        <x:v>Evaluation Design</x:v>
      </x:c>
      <x:c r="E40" s="20" t="str">
        <x:v>Define one measurable success criterion for RQ3 if retained</x:v>
      </x:c>
      <x:c r="F40" s="20" t="str">
        <x:v>RQ3 success criterion</x:v>
      </x:c>
      <x:c r="G40" s="20" t="n">
        <x:v>0.5</x:v>
      </x:c>
      <x:c r="H40" s="20" t="str">
        <x:v>High</x:v>
      </x:c>
      <x:c r="I40" s="20" t="str"/>
      <x:c r="J40" s="20" t="str"/>
      <x:c r="K40" s="20" t="str">
        <x:v>Not Started</x:v>
      </x:c>
      <x:c r="L40" s="20" t="n">
        <x:f>IF(K40="Completed",100,IF(K40="In Progress",50,0))</x:f>
        <x:v>0</x:v>
      </x:c>
      <x:c r="M40" s="20"/>
      <x:c r="N40" s="20" t="str">
        <x:f>IF(OR(K40&lt;&gt;"Completed",M40=""),"",IF(M40&lt;4.5,"YES","NO"))</x:f>
      </x:c>
      <x:c r="O40" s="20" t="str">
        <x:f>IF(K40="Completed","Done",IF(B40&lt;TODAY(),"OVERDUE",IF(B40=TODAY(),"DUE TODAY","Upcoming")))</x:f>
        <x:v>Upcoming</x:v>
      </x:c>
      <x:c r="P40" s="21"/>
      <x:c r="Q40" s="20" t="str"/>
      <x:c r="R40" s="20" t="str"/>
    </x:row>
    <x:row r="41">
      <x:c r="A41" s="20" t="str">
        <x:v>T038</x:v>
      </x:c>
      <x:c r="B41" s="21" t="n">
        <x:v>46303</x:v>
      </x:c>
      <x:c r="C41" s="20" t="str">
        <x:v>Week 2</x:v>
      </x:c>
      <x:c r="D41" s="20" t="str">
        <x:v>Evaluation Design</x:v>
      </x:c>
      <x:c r="E41" s="20" t="str">
        <x:v>Remove or rewrite any RQ that cannot be answered by the planned experiments</x:v>
      </x:c>
      <x:c r="F41" s="20" t="str">
        <x:v>Final answerable RQ set</x:v>
      </x:c>
      <x:c r="G41" s="20" t="n">
        <x:v>0.5</x:v>
      </x:c>
      <x:c r="H41" s="20" t="str">
        <x:v>High</x:v>
      </x:c>
      <x:c r="I41" s="20" t="str"/>
      <x:c r="J41" s="20" t="str"/>
      <x:c r="K41" s="20" t="str">
        <x:v>Not Started</x:v>
      </x:c>
      <x:c r="L41" s="20" t="n">
        <x:f>IF(K41="Completed",100,IF(K41="In Progress",50,0))</x:f>
        <x:v>0</x:v>
      </x:c>
      <x:c r="M41" s="20"/>
      <x:c r="N41" s="20" t="str">
        <x:f>IF(OR(K41&lt;&gt;"Completed",M41=""),"",IF(M41&lt;4.5,"YES","NO"))</x:f>
      </x:c>
      <x:c r="O41" s="20" t="str">
        <x:f>IF(K41="Completed","Done",IF(B41&lt;TODAY(),"OVERDUE",IF(B41=TODAY(),"DUE TODAY","Upcoming")))</x:f>
        <x:v>Upcoming</x:v>
      </x:c>
      <x:c r="P41" s="21"/>
      <x:c r="Q41" s="20" t="str"/>
      <x:c r="R41" s="20" t="str"/>
    </x:row>
    <x:row r="42">
      <x:c r="A42" s="20" t="str">
        <x:v>T039</x:v>
      </x:c>
      <x:c r="B42" s="21" t="n">
        <x:v>46304</x:v>
      </x:c>
      <x:c r="C42" s="20" t="str">
        <x:v>Week 2</x:v>
      </x:c>
      <x:c r="D42" s="20" t="str">
        <x:v>Requirements Engineering</x:v>
      </x:c>
      <x:c r="E42" s="20" t="str">
        <x:v>Identify the primary stakeholder/user and record the evidence source</x:v>
      </x:c>
      <x:c r="F42" s="20" t="str">
        <x:v>Primary stakeholder row</x:v>
      </x:c>
      <x:c r="G42" s="20" t="n">
        <x:v>0.5</x:v>
      </x:c>
      <x:c r="H42" s="20" t="str">
        <x:v>High</x:v>
      </x:c>
      <x:c r="I42" s="20" t="str"/>
      <x:c r="J42" s="20" t="str"/>
      <x:c r="K42" s="20" t="str">
        <x:v>Not Started</x:v>
      </x:c>
      <x:c r="L42" s="20" t="n">
        <x:f>IF(K42="Completed",100,IF(K42="In Progress",50,0))</x:f>
        <x:v>0</x:v>
      </x:c>
      <x:c r="M42" s="20"/>
      <x:c r="N42" s="20" t="str">
        <x:f>IF(OR(K42&lt;&gt;"Completed",M42=""),"",IF(M42&lt;4.5,"YES","NO"))</x:f>
      </x:c>
      <x:c r="O42" s="20" t="str">
        <x:f>IF(K42="Completed","Done",IF(B42&lt;TODAY(),"OVERDUE",IF(B42=TODAY(),"DUE TODAY","Upcoming")))</x:f>
        <x:v>Upcoming</x:v>
      </x:c>
      <x:c r="P42" s="21"/>
      <x:c r="Q42" s="20" t="str"/>
      <x:c r="R42" s="20" t="str"/>
    </x:row>
    <x:row r="43">
      <x:c r="A43" s="20" t="str">
        <x:v>T040</x:v>
      </x:c>
      <x:c r="B43" s="21" t="n">
        <x:v>46304</x:v>
      </x:c>
      <x:c r="C43" s="20" t="str">
        <x:v>Week 2</x:v>
      </x:c>
      <x:c r="D43" s="20" t="str">
        <x:v>Requirements Engineering</x:v>
      </x:c>
      <x:c r="E43" s="20" t="str">
        <x:v>Identify the secondary affected stakeholder and record the evidence source</x:v>
      </x:c>
      <x:c r="F43" s="20" t="str">
        <x:v>Secondary stakeholder row</x:v>
      </x:c>
      <x:c r="G43" s="20" t="n">
        <x:v>0.5</x:v>
      </x:c>
      <x:c r="H43" s="20" t="str">
        <x:v>High</x:v>
      </x:c>
      <x:c r="I43" s="20" t="str"/>
      <x:c r="J43" s="20" t="str"/>
      <x:c r="K43" s="20" t="str">
        <x:v>Not Started</x:v>
      </x:c>
      <x:c r="L43" s="20" t="n">
        <x:f>IF(K43="Completed",100,IF(K43="In Progress",50,0))</x:f>
        <x:v>0</x:v>
      </x:c>
      <x:c r="M43" s="20"/>
      <x:c r="N43" s="20" t="str">
        <x:f>IF(OR(K43&lt;&gt;"Completed",M43=""),"",IF(M43&lt;4.5,"YES","NO"))</x:f>
      </x:c>
      <x:c r="O43" s="20" t="str">
        <x:f>IF(K43="Completed","Done",IF(B43&lt;TODAY(),"OVERDUE",IF(B43=TODAY(),"DUE TODAY","Upcoming")))</x:f>
        <x:v>Upcoming</x:v>
      </x:c>
      <x:c r="P43" s="21"/>
      <x:c r="Q43" s="20" t="str"/>
      <x:c r="R43" s="20" t="str"/>
    </x:row>
    <x:row r="44">
      <x:c r="A44" s="20" t="str">
        <x:v>T041</x:v>
      </x:c>
      <x:c r="B44" s="21" t="n">
        <x:v>46304</x:v>
      </x:c>
      <x:c r="C44" s="20" t="str">
        <x:v>Week 2</x:v>
      </x:c>
      <x:c r="D44" s="20" t="str">
        <x:v>Requirements Engineering</x:v>
      </x:c>
      <x:c r="E44" s="20" t="str">
        <x:v>Identify the institutional/domain stakeholder if relevant</x:v>
      </x:c>
      <x:c r="F44" s="20" t="str">
        <x:v>Institutional stakeholder row</x:v>
      </x:c>
      <x:c r="G44" s="20" t="n">
        <x:v>0.5</x:v>
      </x:c>
      <x:c r="H44" s="20" t="str">
        <x:v>High</x:v>
      </x:c>
      <x:c r="I44" s="20" t="str"/>
      <x:c r="J44" s="20" t="str"/>
      <x:c r="K44" s="20" t="str">
        <x:v>Not Started</x:v>
      </x:c>
      <x:c r="L44" s="20" t="n">
        <x:f>IF(K44="Completed",100,IF(K44="In Progress",50,0))</x:f>
        <x:v>0</x:v>
      </x:c>
      <x:c r="M44" s="20"/>
      <x:c r="N44" s="20" t="str">
        <x:f>IF(OR(K44&lt;&gt;"Completed",M44=""),"",IF(M44&lt;4.5,"YES","NO"))</x:f>
      </x:c>
      <x:c r="O44" s="20" t="str">
        <x:f>IF(K44="Completed","Done",IF(B44&lt;TODAY(),"OVERDUE",IF(B44=TODAY(),"DUE TODAY","Upcoming")))</x:f>
        <x:v>Upcoming</x:v>
      </x:c>
      <x:c r="P44" s="21"/>
      <x:c r="Q44" s="20" t="str"/>
      <x:c r="R44" s="20" t="str"/>
    </x:row>
    <x:row r="45">
      <x:c r="A45" s="20" t="str">
        <x:v>T042</x:v>
      </x:c>
      <x:c r="B45" s="21" t="n">
        <x:v>46304</x:v>
      </x:c>
      <x:c r="C45" s="20" t="str">
        <x:v>Week 2</x:v>
      </x:c>
      <x:c r="D45" s="20" t="str">
        <x:v>Requirements Engineering</x:v>
      </x:c>
      <x:c r="E45" s="20" t="str">
        <x:v>Record one design implication for each stakeholder need or responsibility</x:v>
      </x:c>
      <x:c r="F45" s="20" t="str">
        <x:v>Stakeholder-to-design mapping</x:v>
      </x:c>
      <x:c r="G45" s="20" t="n">
        <x:v>0.5</x:v>
      </x:c>
      <x:c r="H45" s="20" t="str">
        <x:v>High</x:v>
      </x:c>
      <x:c r="I45" s="20" t="str"/>
      <x:c r="J45" s="20" t="str"/>
      <x:c r="K45" s="20" t="str">
        <x:v>Not Started</x:v>
      </x:c>
      <x:c r="L45" s="20" t="n">
        <x:f>IF(K45="Completed",100,IF(K45="In Progress",50,0))</x:f>
        <x:v>0</x:v>
      </x:c>
      <x:c r="M45" s="20"/>
      <x:c r="N45" s="20" t="str">
        <x:f>IF(OR(K45&lt;&gt;"Completed",M45=""),"",IF(M45&lt;4.5,"YES","NO"))</x:f>
      </x:c>
      <x:c r="O45" s="20" t="str">
        <x:f>IF(K45="Completed","Done",IF(B45&lt;TODAY(),"OVERDUE",IF(B45=TODAY(),"DUE TODAY","Upcoming")))</x:f>
        <x:v>Upcoming</x:v>
      </x:c>
      <x:c r="P45" s="21"/>
      <x:c r="Q45" s="20" t="str"/>
      <x:c r="R45" s="20" t="str"/>
    </x:row>
    <x:row r="46">
      <x:c r="A46" s="20" t="str">
        <x:v>T043</x:v>
      </x:c>
      <x:c r="B46" s="21" t="n">
        <x:v>46305</x:v>
      </x:c>
      <x:c r="C46" s="20" t="str">
        <x:v>Week 2</x:v>
      </x:c>
      <x:c r="D46" s="20" t="str">
        <x:v>Requirements Engineering</x:v>
      </x:c>
      <x:c r="E46" s="20" t="str">
        <x:v>Write each required system capability as a separate functional requirement</x:v>
      </x:c>
      <x:c r="F46" s="20" t="str">
        <x:v>FR set</x:v>
      </x:c>
      <x:c r="G46" s="20" t="n">
        <x:v>0.5</x:v>
      </x:c>
      <x:c r="H46" s="20" t="str">
        <x:v>Critical</x:v>
      </x:c>
      <x:c r="I46" s="20" t="str"/>
      <x:c r="J46" s="20" t="str"/>
      <x:c r="K46" s="20" t="str">
        <x:v>Not Started</x:v>
      </x:c>
      <x:c r="L46" s="20" t="n">
        <x:f>IF(K46="Completed",100,IF(K46="In Progress",50,0))</x:f>
        <x:v>0</x:v>
      </x:c>
      <x:c r="M46" s="20"/>
      <x:c r="N46" s="20" t="str">
        <x:f>IF(OR(K46&lt;&gt;"Completed",M46=""),"",IF(M46&lt;4.5,"YES","NO"))</x:f>
      </x:c>
      <x:c r="O46" s="20" t="str">
        <x:f>IF(K46="Completed","Done",IF(B46&lt;TODAY(),"OVERDUE",IF(B46=TODAY(),"DUE TODAY","Upcoming")))</x:f>
        <x:v>Upcoming</x:v>
      </x:c>
      <x:c r="P46" s="21"/>
      <x:c r="Q46" s="20" t="str"/>
      <x:c r="R46" s="20" t="str"/>
    </x:row>
    <x:row r="47">
      <x:c r="A47" s="20" t="str">
        <x:v>T044</x:v>
      </x:c>
      <x:c r="B47" s="21" t="n">
        <x:v>46305</x:v>
      </x:c>
      <x:c r="C47" s="20" t="str">
        <x:v>Week 2</x:v>
      </x:c>
      <x:c r="D47" s="20" t="str">
        <x:v>Requirements Engineering</x:v>
      </x:c>
      <x:c r="E47" s="20" t="str">
        <x:v>Write each relevant quality constraint as a separate non-functional requirement</x:v>
      </x:c>
      <x:c r="F47" s="20" t="str">
        <x:v>NFR set</x:v>
      </x:c>
      <x:c r="G47" s="20" t="n">
        <x:v>0.5</x:v>
      </x:c>
      <x:c r="H47" s="20" t="str">
        <x:v>Critical</x:v>
      </x:c>
      <x:c r="I47" s="20" t="str"/>
      <x:c r="J47" s="20" t="str"/>
      <x:c r="K47" s="20" t="str">
        <x:v>Not Started</x:v>
      </x:c>
      <x:c r="L47" s="20" t="n">
        <x:f>IF(K47="Completed",100,IF(K47="In Progress",50,0))</x:f>
        <x:v>0</x:v>
      </x:c>
      <x:c r="M47" s="20"/>
      <x:c r="N47" s="20" t="str">
        <x:f>IF(OR(K47&lt;&gt;"Completed",M47=""),"",IF(M47&lt;4.5,"YES","NO"))</x:f>
      </x:c>
      <x:c r="O47" s="20" t="str">
        <x:f>IF(K47="Completed","Done",IF(B47&lt;TODAY(),"OVERDUE",IF(B47=TODAY(),"DUE TODAY","Upcoming")))</x:f>
        <x:v>Upcoming</x:v>
      </x:c>
      <x:c r="P47" s="21"/>
      <x:c r="Q47" s="20" t="str"/>
      <x:c r="R47" s="20" t="str"/>
    </x:row>
    <x:row r="48">
      <x:c r="A48" s="20" t="str">
        <x:v>T045</x:v>
      </x:c>
      <x:c r="B48" s="21" t="n">
        <x:v>46305</x:v>
      </x:c>
      <x:c r="C48" s="20" t="str">
        <x:v>Week 2</x:v>
      </x:c>
      <x:c r="D48" s="20" t="str">
        <x:v>Requirements Engineering</x:v>
      </x:c>
      <x:c r="E48" s="20" t="str">
        <x:v>Write each dataset/evidence dependency as a separate data requirement</x:v>
      </x:c>
      <x:c r="F48" s="20" t="str">
        <x:v>DR set</x:v>
      </x:c>
      <x:c r="G48" s="20" t="n">
        <x:v>0.5</x:v>
      </x:c>
      <x:c r="H48" s="20" t="str">
        <x:v>Critical</x:v>
      </x:c>
      <x:c r="I48" s="20" t="str"/>
      <x:c r="J48" s="20" t="str"/>
      <x:c r="K48" s="20" t="str">
        <x:v>Not Started</x:v>
      </x:c>
      <x:c r="L48" s="20" t="n">
        <x:f>IF(K48="Completed",100,IF(K48="In Progress",50,0))</x:f>
        <x:v>0</x:v>
      </x:c>
      <x:c r="M48" s="20"/>
      <x:c r="N48" s="20" t="str">
        <x:f>IF(OR(K48&lt;&gt;"Completed",M48=""),"",IF(M48&lt;4.5,"YES","NO"))</x:f>
      </x:c>
      <x:c r="O48" s="20" t="str">
        <x:f>IF(K48="Completed","Done",IF(B48&lt;TODAY(),"OVERDUE",IF(B48=TODAY(),"DUE TODAY","Upcoming")))</x:f>
        <x:v>Upcoming</x:v>
      </x:c>
      <x:c r="P48" s="21"/>
      <x:c r="Q48" s="20" t="str"/>
      <x:c r="R48" s="20" t="str"/>
    </x:row>
    <x:row r="49">
      <x:c r="A49" s="20" t="str">
        <x:v>T046</x:v>
      </x:c>
      <x:c r="B49" s="21" t="n">
        <x:v>46305</x:v>
      </x:c>
      <x:c r="C49" s="20" t="str">
        <x:v>Week 2</x:v>
      </x:c>
      <x:c r="D49" s="20" t="str">
        <x:v>Requirements Engineering</x:v>
      </x:c>
      <x:c r="E49" s="20" t="str">
        <x:v>Write each model/AI behaviour or evaluation expectation as a separate model/AI requirement</x:v>
      </x:c>
      <x:c r="F49" s="20" t="str">
        <x:v>ML/AI requirement set</x:v>
      </x:c>
      <x:c r="G49" s="20" t="n">
        <x:v>0.5</x:v>
      </x:c>
      <x:c r="H49" s="20" t="str">
        <x:v>Critical</x:v>
      </x:c>
      <x:c r="I49" s="20" t="str"/>
      <x:c r="J49" s="20" t="str"/>
      <x:c r="K49" s="20" t="str">
        <x:v>Not Started</x:v>
      </x:c>
      <x:c r="L49" s="20" t="n">
        <x:f>IF(K49="Completed",100,IF(K49="In Progress",50,0))</x:f>
        <x:v>0</x:v>
      </x:c>
      <x:c r="M49" s="20"/>
      <x:c r="N49" s="20" t="str">
        <x:f>IF(OR(K49&lt;&gt;"Completed",M49=""),"",IF(M49&lt;4.5,"YES","NO"))</x:f>
      </x:c>
      <x:c r="O49" s="20" t="str">
        <x:f>IF(K49="Completed","Done",IF(B49&lt;TODAY(),"OVERDUE",IF(B49=TODAY(),"DUE TODAY","Upcoming")))</x:f>
        <x:v>Upcoming</x:v>
      </x:c>
      <x:c r="P49" s="21"/>
      <x:c r="Q49" s="20" t="str"/>
      <x:c r="R49" s="20" t="str"/>
    </x:row>
    <x:row r="50">
      <x:c r="A50" s="20" t="str">
        <x:v>T047</x:v>
      </x:c>
      <x:c r="B50" s="21" t="n">
        <x:v>46305</x:v>
      </x:c>
      <x:c r="C50" s="20" t="str">
        <x:v>Week 2</x:v>
      </x:c>
      <x:c r="D50" s="20" t="str">
        <x:v>Requirements Engineering</x:v>
      </x:c>
      <x:c r="E50" s="20" t="str">
        <x:v>Write each explicit out-of-scope item as a boundary requirement</x:v>
      </x:c>
      <x:c r="F50" s="20" t="str">
        <x:v>Boundary requirement set</x:v>
      </x:c>
      <x:c r="G50" s="20" t="n">
        <x:v>0.5</x:v>
      </x:c>
      <x:c r="H50" s="20" t="str">
        <x:v>Critical</x:v>
      </x:c>
      <x:c r="I50" s="20" t="str"/>
      <x:c r="J50" s="20" t="str"/>
      <x:c r="K50" s="20" t="str">
        <x:v>Not Started</x:v>
      </x:c>
      <x:c r="L50" s="20" t="n">
        <x:f>IF(K50="Completed",100,IF(K50="In Progress",50,0))</x:f>
        <x:v>0</x:v>
      </x:c>
      <x:c r="M50" s="20"/>
      <x:c r="N50" s="20" t="str">
        <x:f>IF(OR(K50&lt;&gt;"Completed",M50=""),"",IF(M50&lt;4.5,"YES","NO"))</x:f>
      </x:c>
      <x:c r="O50" s="20" t="str">
        <x:f>IF(K50="Completed","Done",IF(B50&lt;TODAY(),"OVERDUE",IF(B50=TODAY(),"DUE TODAY","Upcoming")))</x:f>
        <x:v>Upcoming</x:v>
      </x:c>
      <x:c r="P50" s="21"/>
      <x:c r="Q50" s="20" t="str"/>
      <x:c r="R50" s="20" t="str"/>
    </x:row>
    <x:row r="51">
      <x:c r="A51" s="20" t="str">
        <x:v>T048</x:v>
      </x:c>
      <x:c r="B51" s="21" t="n">
        <x:v>46305</x:v>
      </x:c>
      <x:c r="C51" s="20" t="str">
        <x:v>Week 2</x:v>
      </x:c>
      <x:c r="D51" s="20" t="str">
        <x:v>Requirements Engineering</x:v>
      </x:c>
      <x:c r="E51" s="20" t="str">
        <x:v>Add the evidence source/rationale to every requirement</x:v>
      </x:c>
      <x:c r="F51" s="20" t="str">
        <x:v>Requirement source column</x:v>
      </x:c>
      <x:c r="G51" s="20" t="n">
        <x:v>0.5</x:v>
      </x:c>
      <x:c r="H51" s="20" t="str">
        <x:v>Critical</x:v>
      </x:c>
      <x:c r="I51" s="20" t="str"/>
      <x:c r="J51" s="20" t="str"/>
      <x:c r="K51" s="20" t="str">
        <x:v>Not Started</x:v>
      </x:c>
      <x:c r="L51" s="20" t="n">
        <x:f>IF(K51="Completed",100,IF(K51="In Progress",50,0))</x:f>
        <x:v>0</x:v>
      </x:c>
      <x:c r="M51" s="20"/>
      <x:c r="N51" s="20" t="str">
        <x:f>IF(OR(K51&lt;&gt;"Completed",M51=""),"",IF(M51&lt;4.5,"YES","NO"))</x:f>
      </x:c>
      <x:c r="O51" s="20" t="str">
        <x:f>IF(K51="Completed","Done",IF(B51&lt;TODAY(),"OVERDUE",IF(B51=TODAY(),"DUE TODAY","Upcoming")))</x:f>
        <x:v>Upcoming</x:v>
      </x:c>
      <x:c r="P51" s="21"/>
      <x:c r="Q51" s="20" t="str"/>
      <x:c r="R51" s="20" t="str"/>
    </x:row>
    <x:row r="52">
      <x:c r="A52" s="20" t="str">
        <x:v>T049</x:v>
      </x:c>
      <x:c r="B52" s="21" t="n">
        <x:v>46305</x:v>
      </x:c>
      <x:c r="C52" s="20" t="str">
        <x:v>Week 2</x:v>
      </x:c>
      <x:c r="D52" s="20" t="str">
        <x:v>Requirements Engineering</x:v>
      </x:c>
      <x:c r="E52" s="20" t="str">
        <x:v>Add measurable acceptance evidence to every requirement</x:v>
      </x:c>
      <x:c r="F52" s="20" t="str">
        <x:v>Acceptance-evidence column</x:v>
      </x:c>
      <x:c r="G52" s="20" t="n">
        <x:v>0.5</x:v>
      </x:c>
      <x:c r="H52" s="20" t="str">
        <x:v>Critical</x:v>
      </x:c>
      <x:c r="I52" s="20" t="str"/>
      <x:c r="J52" s="20" t="str"/>
      <x:c r="K52" s="20" t="str">
        <x:v>Not Started</x:v>
      </x:c>
      <x:c r="L52" s="20" t="n">
        <x:f>IF(K52="Completed",100,IF(K52="In Progress",50,0))</x:f>
        <x:v>0</x:v>
      </x:c>
      <x:c r="M52" s="20"/>
      <x:c r="N52" s="20" t="str">
        <x:f>IF(OR(K52&lt;&gt;"Completed",M52=""),"",IF(M52&lt;4.5,"YES","NO"))</x:f>
      </x:c>
      <x:c r="O52" s="20" t="str">
        <x:f>IF(K52="Completed","Done",IF(B52&lt;TODAY(),"OVERDUE",IF(B52=TODAY(),"DUE TODAY","Upcoming")))</x:f>
        <x:v>Upcoming</x:v>
      </x:c>
      <x:c r="P52" s="21"/>
      <x:c r="Q52" s="20" t="str"/>
      <x:c r="R52" s="20" t="str"/>
    </x:row>
    <x:row r="53">
      <x:c r="A53" s="20" t="str">
        <x:v>T050</x:v>
      </x:c>
      <x:c r="B53" s="21" t="n">
        <x:v>46305</x:v>
      </x:c>
      <x:c r="C53" s="20" t="str">
        <x:v>Week 2</x:v>
      </x:c>
      <x:c r="D53" s="20" t="str">
        <x:v>Requirements Engineering</x:v>
      </x:c>
      <x:c r="E53" s="20" t="str">
        <x:v>Prioritise all requirements using Must/Should/Could</x:v>
      </x:c>
      <x:c r="F53" s="20" t="str">
        <x:v>Prioritised requirement set</x:v>
      </x:c>
      <x:c r="G53" s="20" t="n">
        <x:v>0.5</x:v>
      </x:c>
      <x:c r="H53" s="20" t="str">
        <x:v>Critical</x:v>
      </x:c>
      <x:c r="I53" s="20" t="str"/>
      <x:c r="J53" s="20" t="str">
        <x:v>Requirements elicited</x:v>
      </x:c>
      <x:c r="K53" s="20" t="str">
        <x:v>Not Started</x:v>
      </x:c>
      <x:c r="L53" s="20" t="n">
        <x:f>IF(K53="Completed",100,IF(K53="In Progress",50,0))</x:f>
        <x:v>0</x:v>
      </x:c>
      <x:c r="M53" s="20"/>
      <x:c r="N53" s="20" t="str">
        <x:f>IF(OR(K53&lt;&gt;"Completed",M53=""),"",IF(M53&lt;4.5,"YES","NO"))</x:f>
      </x:c>
      <x:c r="O53" s="20" t="str">
        <x:f>IF(K53="Completed","Done",IF(B53&lt;TODAY(),"OVERDUE",IF(B53=TODAY(),"DUE TODAY","Upcoming")))</x:f>
        <x:v>Upcoming</x:v>
      </x:c>
      <x:c r="P53" s="21"/>
      <x:c r="Q53" s="20" t="str"/>
      <x:c r="R53" s="20" t="str"/>
    </x:row>
    <x:row r="54">
      <x:c r="A54" s="20" t="str">
        <x:v>T051</x:v>
      </x:c>
      <x:c r="B54" s="21" t="n">
        <x:v>46306</x:v>
      </x:c>
      <x:c r="C54" s="20" t="str">
        <x:v>Week 2</x:v>
      </x:c>
      <x:c r="D54" s="20" t="str">
        <x:v>Dataset &amp; Feasibility</x:v>
      </x:c>
      <x:c r="E54" s="20" t="str">
        <x:v>Calculate usable history length for every security in the candidate universe</x:v>
      </x:c>
      <x:c r="F54" s="20" t="str">
        <x:v>Per-security history-length profile</x:v>
      </x:c>
      <x:c r="G54" s="20" t="n">
        <x:v>1</x:v>
      </x:c>
      <x:c r="H54" s="20" t="str">
        <x:v>Critical</x:v>
      </x:c>
      <x:c r="I54" s="20" t="str"/>
      <x:c r="J54" s="20" t="str"/>
      <x:c r="K54" s="20" t="str">
        <x:v>Not Started</x:v>
      </x:c>
      <x:c r="L54" s="20" t="n">
        <x:f>IF(K54="Completed",100,IF(K54="In Progress",50,0))</x:f>
        <x:v>0</x:v>
      </x:c>
      <x:c r="M54" s="20"/>
      <x:c r="N54" s="20" t="str">
        <x:f>IF(OR(K54&lt;&gt;"Completed",M54=""),"",IF(M54&lt;4.5,"YES","NO"))</x:f>
      </x:c>
      <x:c r="O54" s="20" t="str">
        <x:f>IF(K54="Completed","Done",IF(B54&lt;TODAY(),"OVERDUE",IF(B54=TODAY(),"DUE TODAY","Upcoming")))</x:f>
        <x:v>Upcoming</x:v>
      </x:c>
      <x:c r="P54" s="21"/>
      <x:c r="Q54" s="20" t="str"/>
      <x:c r="R54" s="20" t="str"/>
    </x:row>
    <x:row r="55">
      <x:c r="A55" s="20" t="str">
        <x:v>T052</x:v>
      </x:c>
      <x:c r="B55" s="21" t="n">
        <x:v>46306</x:v>
      </x:c>
      <x:c r="C55" s="20" t="str">
        <x:v>Week 2</x:v>
      </x:c>
      <x:c r="D55" s="20" t="str">
        <x:v>Dataset &amp; Feasibility</x:v>
      </x:c>
      <x:c r="E55" s="20" t="str">
        <x:v>Calculate percentage of expected trading days with non-zero volume for every security</x:v>
      </x:c>
      <x:c r="F55" s="20" t="str">
        <x:v>Active-trading-day profile</x:v>
      </x:c>
      <x:c r="G55" s="20" t="n">
        <x:v>1</x:v>
      </x:c>
      <x:c r="H55" s="20" t="str">
        <x:v>Critical</x:v>
      </x:c>
      <x:c r="I55" s="20" t="str"/>
      <x:c r="J55" s="20" t="str"/>
      <x:c r="K55" s="20" t="str">
        <x:v>Not Started</x:v>
      </x:c>
      <x:c r="L55" s="20" t="n">
        <x:f>IF(K55="Completed",100,IF(K55="In Progress",50,0))</x:f>
        <x:v>0</x:v>
      </x:c>
      <x:c r="M55" s="20"/>
      <x:c r="N55" s="20" t="str">
        <x:f>IF(OR(K55&lt;&gt;"Completed",M55=""),"",IF(M55&lt;4.5,"YES","NO"))</x:f>
      </x:c>
      <x:c r="O55" s="20" t="str">
        <x:f>IF(K55="Completed","Done",IF(B55&lt;TODAY(),"OVERDUE",IF(B55=TODAY(),"DUE TODAY","Upcoming")))</x:f>
        <x:v>Upcoming</x:v>
      </x:c>
      <x:c r="P55" s="21"/>
      <x:c r="Q55" s="20" t="str"/>
      <x:c r="R55" s="20" t="str"/>
    </x:row>
    <x:row r="56">
      <x:c r="A56" s="20" t="str">
        <x:v>T053</x:v>
      </x:c>
      <x:c r="B56" s="21" t="n">
        <x:v>46306</x:v>
      </x:c>
      <x:c r="C56" s="20" t="str">
        <x:v>Week 2</x:v>
      </x:c>
      <x:c r="D56" s="20" t="str">
        <x:v>Dataset &amp; Feasibility</x:v>
      </x:c>
      <x:c r="E56" s="20" t="str">
        <x:v>Calculate non-trading/zero-volume frequency for every security</x:v>
      </x:c>
      <x:c r="F56" s="20" t="str">
        <x:v>Non-trading frequency</x:v>
      </x:c>
      <x:c r="G56" s="20" t="n">
        <x:v>1</x:v>
      </x:c>
      <x:c r="H56" s="20" t="str">
        <x:v>Critical</x:v>
      </x:c>
      <x:c r="I56" s="20" t="str"/>
      <x:c r="J56" s="20" t="str"/>
      <x:c r="K56" s="20" t="str">
        <x:v>Not Started</x:v>
      </x:c>
      <x:c r="L56" s="20" t="n">
        <x:f>IF(K56="Completed",100,IF(K56="In Progress",50,0))</x:f>
        <x:v>0</x:v>
      </x:c>
      <x:c r="M56" s="20"/>
      <x:c r="N56" s="20" t="str">
        <x:f>IF(OR(K56&lt;&gt;"Completed",M56=""),"",IF(M56&lt;4.5,"YES","NO"))</x:f>
      </x:c>
      <x:c r="O56" s="20" t="str">
        <x:f>IF(K56="Completed","Done",IF(B56&lt;TODAY(),"OVERDUE",IF(B56=TODAY(),"DUE TODAY","Upcoming")))</x:f>
        <x:v>Upcoming</x:v>
      </x:c>
      <x:c r="P56" s="21"/>
      <x:c r="Q56" s="20" t="str"/>
      <x:c r="R56" s="20" t="str"/>
    </x:row>
    <x:row r="57">
      <x:c r="A57" s="20" t="str">
        <x:v>T054</x:v>
      </x:c>
      <x:c r="B57" s="21" t="n">
        <x:v>46306</x:v>
      </x:c>
      <x:c r="C57" s="20" t="str">
        <x:v>Week 2</x:v>
      </x:c>
      <x:c r="D57" s="20" t="str">
        <x:v>Dataset &amp; Feasibility</x:v>
      </x:c>
      <x:c r="E57" s="20" t="str">
        <x:v>Calculate zero-return frequency separately from non-trading frequency</x:v>
      </x:c>
      <x:c r="F57" s="20" t="str">
        <x:v>Zero-return profile</x:v>
      </x:c>
      <x:c r="G57" s="20" t="n">
        <x:v>1</x:v>
      </x:c>
      <x:c r="H57" s="20" t="str">
        <x:v>Critical</x:v>
      </x:c>
      <x:c r="I57" s="20" t="str"/>
      <x:c r="J57" s="20" t="str"/>
      <x:c r="K57" s="20" t="str">
        <x:v>Not Started</x:v>
      </x:c>
      <x:c r="L57" s="20" t="n">
        <x:f>IF(K57="Completed",100,IF(K57="In Progress",50,0))</x:f>
        <x:v>0</x:v>
      </x:c>
      <x:c r="M57" s="20"/>
      <x:c r="N57" s="20" t="str">
        <x:f>IF(OR(K57&lt;&gt;"Completed",M57=""),"",IF(M57&lt;4.5,"YES","NO"))</x:f>
      </x:c>
      <x:c r="O57" s="20" t="str">
        <x:f>IF(K57="Completed","Done",IF(B57&lt;TODAY(),"OVERDUE",IF(B57=TODAY(),"DUE TODAY","Upcoming")))</x:f>
        <x:v>Upcoming</x:v>
      </x:c>
      <x:c r="P57" s="21"/>
      <x:c r="Q57" s="20" t="str"/>
      <x:c r="R57" s="20" t="str"/>
    </x:row>
    <x:row r="58">
      <x:c r="A58" s="20" t="str">
        <x:v>T055</x:v>
      </x:c>
      <x:c r="B58" s="21" t="n">
        <x:v>46306</x:v>
      </x:c>
      <x:c r="C58" s="20" t="str">
        <x:v>Week 2</x:v>
      </x:c>
      <x:c r="D58" s="20" t="str">
        <x:v>Dataset &amp; Feasibility</x:v>
      </x:c>
      <x:c r="E58" s="20" t="str">
        <x:v>Calculate median daily volume for every security</x:v>
      </x:c>
      <x:c r="F58" s="20" t="str">
        <x:v>Median-volume profile</x:v>
      </x:c>
      <x:c r="G58" s="20" t="n">
        <x:v>1</x:v>
      </x:c>
      <x:c r="H58" s="20" t="str">
        <x:v>Critical</x:v>
      </x:c>
      <x:c r="I58" s="20" t="str"/>
      <x:c r="J58" s="20" t="str"/>
      <x:c r="K58" s="20" t="str">
        <x:v>Not Started</x:v>
      </x:c>
      <x:c r="L58" s="20" t="n">
        <x:f>IF(K58="Completed",100,IF(K58="In Progress",50,0))</x:f>
        <x:v>0</x:v>
      </x:c>
      <x:c r="M58" s="20"/>
      <x:c r="N58" s="20" t="str">
        <x:f>IF(OR(K58&lt;&gt;"Completed",M58=""),"",IF(M58&lt;4.5,"YES","NO"))</x:f>
      </x:c>
      <x:c r="O58" s="20" t="str">
        <x:f>IF(K58="Completed","Done",IF(B58&lt;TODAY(),"OVERDUE",IF(B58=TODAY(),"DUE TODAY","Upcoming")))</x:f>
        <x:v>Upcoming</x:v>
      </x:c>
      <x:c r="P58" s="21"/>
      <x:c r="Q58" s="20" t="str"/>
      <x:c r="R58" s="20" t="str"/>
    </x:row>
    <x:row r="59">
      <x:c r="A59" s="20" t="str">
        <x:v>T056</x:v>
      </x:c>
      <x:c r="B59" s="21" t="n">
        <x:v>46306</x:v>
      </x:c>
      <x:c r="C59" s="20" t="str">
        <x:v>Week 2</x:v>
      </x:c>
      <x:c r="D59" s="20" t="str">
        <x:v>Dataset &amp; Feasibility</x:v>
      </x:c>
      <x:c r="E59" s="20" t="str">
        <x:v>Calculate average daily volume for every security</x:v>
      </x:c>
      <x:c r="F59" s="20" t="str">
        <x:v>ADV profile</x:v>
      </x:c>
      <x:c r="G59" s="20" t="n">
        <x:v>1</x:v>
      </x:c>
      <x:c r="H59" s="20" t="str">
        <x:v>Critical</x:v>
      </x:c>
      <x:c r="I59" s="20" t="str"/>
      <x:c r="J59" s="20" t="str"/>
      <x:c r="K59" s="20" t="str">
        <x:v>Not Started</x:v>
      </x:c>
      <x:c r="L59" s="20" t="n">
        <x:f>IF(K59="Completed",100,IF(K59="In Progress",50,0))</x:f>
        <x:v>0</x:v>
      </x:c>
      <x:c r="M59" s="20"/>
      <x:c r="N59" s="20" t="str">
        <x:f>IF(OR(K59&lt;&gt;"Completed",M59=""),"",IF(M59&lt;4.5,"YES","NO"))</x:f>
      </x:c>
      <x:c r="O59" s="20" t="str">
        <x:f>IF(K59="Completed","Done",IF(B59&lt;TODAY(),"OVERDUE",IF(B59=TODAY(),"DUE TODAY","Upcoming")))</x:f>
        <x:v>Upcoming</x:v>
      </x:c>
      <x:c r="P59" s="21"/>
      <x:c r="Q59" s="20" t="str"/>
      <x:c r="R59" s="20" t="str"/>
    </x:row>
    <x:row r="60">
      <x:c r="A60" s="20" t="str">
        <x:v>T057</x:v>
      </x:c>
      <x:c r="B60" s="21" t="n">
        <x:v>46306</x:v>
      </x:c>
      <x:c r="C60" s="20" t="str">
        <x:v>Week 2</x:v>
      </x:c>
      <x:c r="D60" s="20" t="str">
        <x:v>Dataset &amp; Feasibility</x:v>
      </x:c>
      <x:c r="E60" s="20" t="str">
        <x:v>Calculate turnover-based metrics where turnover data are available</x:v>
      </x:c>
      <x:c r="F60" s="20" t="str">
        <x:v>Turnover profile</x:v>
      </x:c>
      <x:c r="G60" s="20" t="n">
        <x:v>1</x:v>
      </x:c>
      <x:c r="H60" s="20" t="str">
        <x:v>Critical</x:v>
      </x:c>
      <x:c r="I60" s="20" t="str"/>
      <x:c r="J60" s="20" t="str"/>
      <x:c r="K60" s="20" t="str">
        <x:v>Not Started</x:v>
      </x:c>
      <x:c r="L60" s="20" t="n">
        <x:f>IF(K60="Completed",100,IF(K60="In Progress",50,0))</x:f>
        <x:v>0</x:v>
      </x:c>
      <x:c r="M60" s="20"/>
      <x:c r="N60" s="20" t="str">
        <x:f>IF(OR(K60&lt;&gt;"Completed",M60=""),"",IF(M60&lt;4.5,"YES","NO"))</x:f>
      </x:c>
      <x:c r="O60" s="20" t="str">
        <x:f>IF(K60="Completed","Done",IF(B60&lt;TODAY(),"OVERDUE",IF(B60=TODAY(),"DUE TODAY","Upcoming")))</x:f>
        <x:v>Upcoming</x:v>
      </x:c>
      <x:c r="P60" s="21"/>
      <x:c r="Q60" s="20" t="str"/>
      <x:c r="R60" s="20" t="str"/>
    </x:row>
    <x:row r="61">
      <x:c r="A61" s="20" t="str">
        <x:v>T058</x:v>
      </x:c>
      <x:c r="B61" s="21" t="n">
        <x:v>46306</x:v>
      </x:c>
      <x:c r="C61" s="20" t="str">
        <x:v>Week 2</x:v>
      </x:c>
      <x:c r="D61" s="20" t="str">
        <x:v>Dataset &amp; Feasibility</x:v>
      </x:c>
      <x:c r="E61" s="20" t="str">
        <x:v>Calculate Amihud illiquidity where the required inputs are available</x:v>
      </x:c>
      <x:c r="F61" s="20" t="str">
        <x:v>Amihud profile</x:v>
      </x:c>
      <x:c r="G61" s="20" t="n">
        <x:v>1</x:v>
      </x:c>
      <x:c r="H61" s="20" t="str">
        <x:v>Critical</x:v>
      </x:c>
      <x:c r="I61" s="20" t="str"/>
      <x:c r="J61" s="20" t="str"/>
      <x:c r="K61" s="20" t="str">
        <x:v>Not Started</x:v>
      </x:c>
      <x:c r="L61" s="20" t="n">
        <x:f>IF(K61="Completed",100,IF(K61="In Progress",50,0))</x:f>
        <x:v>0</x:v>
      </x:c>
      <x:c r="M61" s="20"/>
      <x:c r="N61" s="20" t="str">
        <x:f>IF(OR(K61&lt;&gt;"Completed",M61=""),"",IF(M61&lt;4.5,"YES","NO"))</x:f>
      </x:c>
      <x:c r="O61" s="20" t="str">
        <x:f>IF(K61="Completed","Done",IF(B61&lt;TODAY(),"OVERDUE",IF(B61=TODAY(),"DUE TODAY","Upcoming")))</x:f>
        <x:v>Upcoming</x:v>
      </x:c>
      <x:c r="P61" s="21"/>
      <x:c r="Q61" s="20" t="str"/>
      <x:c r="R61" s="20" t="str"/>
    </x:row>
    <x:row r="62">
      <x:c r="A62" s="20" t="str">
        <x:v>T059</x:v>
      </x:c>
      <x:c r="B62" s="21" t="n">
        <x:v>46306</x:v>
      </x:c>
      <x:c r="C62" s="20" t="str">
        <x:v>Week 2</x:v>
      </x:c>
      <x:c r="D62" s="20" t="str">
        <x:v>Dataset &amp; Feasibility</x:v>
      </x:c>
      <x:c r="E62" s="20" t="str">
        <x:v>Define an explicit liquidity-screen rule</x:v>
      </x:c>
      <x:c r="F62" s="20" t="str">
        <x:v>Liquidity-screen rule</x:v>
      </x:c>
      <x:c r="G62" s="20" t="n">
        <x:v>1</x:v>
      </x:c>
      <x:c r="H62" s="20" t="str">
        <x:v>Critical</x:v>
      </x:c>
      <x:c r="I62" s="20" t="str"/>
      <x:c r="J62" s="20" t="str"/>
      <x:c r="K62" s="20" t="str">
        <x:v>Not Started</x:v>
      </x:c>
      <x:c r="L62" s="20" t="n">
        <x:f>IF(K62="Completed",100,IF(K62="In Progress",50,0))</x:f>
        <x:v>0</x:v>
      </x:c>
      <x:c r="M62" s="20"/>
      <x:c r="N62" s="20" t="str">
        <x:f>IF(OR(K62&lt;&gt;"Completed",M62=""),"",IF(M62&lt;4.5,"YES","NO"))</x:f>
      </x:c>
      <x:c r="O62" s="20" t="str">
        <x:f>IF(K62="Completed","Done",IF(B62&lt;TODAY(),"OVERDUE",IF(B62=TODAY(),"DUE TODAY","Upcoming")))</x:f>
        <x:v>Upcoming</x:v>
      </x:c>
      <x:c r="P62" s="21"/>
      <x:c r="Q62" s="20" t="str"/>
      <x:c r="R62" s="20" t="str"/>
    </x:row>
    <x:row r="63">
      <x:c r="A63" s="20" t="str">
        <x:v>T060</x:v>
      </x:c>
      <x:c r="B63" s="21" t="n">
        <x:v>46306</x:v>
      </x:c>
      <x:c r="C63" s="20" t="str">
        <x:v>Week 2</x:v>
      </x:c>
      <x:c r="D63" s="20" t="str">
        <x:v>Dataset &amp; Feasibility</x:v>
      </x:c>
      <x:c r="E63" s="20" t="str">
        <x:v>Apply the liquidity screen to the candidate securities</x:v>
      </x:c>
      <x:c r="F63" s="20" t="str">
        <x:v>Screened security universe</x:v>
      </x:c>
      <x:c r="G63" s="20" t="n">
        <x:v>1</x:v>
      </x:c>
      <x:c r="H63" s="20" t="str">
        <x:v>Critical</x:v>
      </x:c>
      <x:c r="I63" s="20" t="str"/>
      <x:c r="J63" s="20" t="str"/>
      <x:c r="K63" s="20" t="str">
        <x:v>Not Started</x:v>
      </x:c>
      <x:c r="L63" s="20" t="n">
        <x:f>IF(K63="Completed",100,IF(K63="In Progress",50,0))</x:f>
        <x:v>0</x:v>
      </x:c>
      <x:c r="M63" s="20"/>
      <x:c r="N63" s="20" t="str">
        <x:f>IF(OR(K63&lt;&gt;"Completed",M63=""),"",IF(M63&lt;4.5,"YES","NO"))</x:f>
      </x:c>
      <x:c r="O63" s="20" t="str">
        <x:f>IF(K63="Completed","Done",IF(B63&lt;TODAY(),"OVERDUE",IF(B63=TODAY(),"DUE TODAY","Upcoming")))</x:f>
        <x:v>Upcoming</x:v>
      </x:c>
      <x:c r="P63" s="21"/>
      <x:c r="Q63" s="20" t="str"/>
      <x:c r="R63" s="20" t="str"/>
    </x:row>
    <x:row r="64">
      <x:c r="A64" s="20" t="str">
        <x:v>T061</x:v>
      </x:c>
      <x:c r="B64" s="21" t="n">
        <x:v>46306</x:v>
      </x:c>
      <x:c r="C64" s="20" t="str">
        <x:v>Week 2</x:v>
      </x:c>
      <x:c r="D64" s="20" t="str">
        <x:v>Dataset &amp; Feasibility</x:v>
      </x:c>
      <x:c r="E64" s="20" t="str">
        <x:v>Record the exact number of securities that survive the screen</x:v>
      </x:c>
      <x:c r="F64" s="20" t="str">
        <x:v>Final preliminary universe size</x:v>
      </x:c>
      <x:c r="G64" s="20" t="n">
        <x:v>1</x:v>
      </x:c>
      <x:c r="H64" s="20" t="str">
        <x:v>Critical</x:v>
      </x:c>
      <x:c r="I64" s="20" t="str"/>
      <x:c r="J64" s="20" t="str"/>
      <x:c r="K64" s="20" t="str">
        <x:v>Not Started</x:v>
      </x:c>
      <x:c r="L64" s="20" t="n">
        <x:f>IF(K64="Completed",100,IF(K64="In Progress",50,0))</x:f>
        <x:v>0</x:v>
      </x:c>
      <x:c r="M64" s="20"/>
      <x:c r="N64" s="20" t="str">
        <x:f>IF(OR(K64&lt;&gt;"Completed",M64=""),"",IF(M64&lt;4.5,"YES","NO"))</x:f>
      </x:c>
      <x:c r="O64" s="20" t="str">
        <x:f>IF(K64="Completed","Done",IF(B64&lt;TODAY(),"OVERDUE",IF(B64=TODAY(),"DUE TODAY","Upcoming")))</x:f>
        <x:v>Upcoming</x:v>
      </x:c>
      <x:c r="P64" s="21"/>
      <x:c r="Q64" s="20" t="str"/>
      <x:c r="R64" s="20" t="str"/>
    </x:row>
    <x:row r="65">
      <x:c r="A65" s="20" t="str">
        <x:v>T062</x:v>
      </x:c>
      <x:c r="B65" s="21" t="n">
        <x:v>46306</x:v>
      </x:c>
      <x:c r="C65" s="20" t="str">
        <x:v>Week 2</x:v>
      </x:c>
      <x:c r="D65" s="20" t="str">
        <x:v>Dataset &amp; Feasibility</x:v>
      </x:c>
      <x:c r="E65" s="20" t="str">
        <x:v>Freeze the preliminary experimental universe for the PoC</x:v>
      </x:c>
      <x:c r="F65" s="20" t="str">
        <x:v>PoC universe v1.0</x:v>
      </x:c>
      <x:c r="G65" s="20" t="n">
        <x:v>1</x:v>
      </x:c>
      <x:c r="H65" s="20" t="str">
        <x:v>Critical</x:v>
      </x:c>
      <x:c r="I65" s="20" t="str"/>
      <x:c r="J65" s="20" t="str">
        <x:v>Experimental universe frozen</x:v>
      </x:c>
      <x:c r="K65" s="20" t="str">
        <x:v>Not Started</x:v>
      </x:c>
      <x:c r="L65" s="20" t="n">
        <x:f>IF(K65="Completed",100,IF(K65="In Progress",50,0))</x:f>
        <x:v>0</x:v>
      </x:c>
      <x:c r="M65" s="20"/>
      <x:c r="N65" s="20" t="str">
        <x:f>IF(OR(K65&lt;&gt;"Completed",M65=""),"",IF(M65&lt;4.5,"YES","NO"))</x:f>
      </x:c>
      <x:c r="O65" s="20" t="str">
        <x:f>IF(K65="Completed","Done",IF(B65&lt;TODAY(),"OVERDUE",IF(B65=TODAY(),"DUE TODAY","Upcoming")))</x:f>
        <x:v>Upcoming</x:v>
      </x:c>
      <x:c r="P65" s="21"/>
      <x:c r="Q65" s="20" t="str"/>
      <x:c r="R65" s="20" t="str"/>
    </x:row>
    <x:row r="66">
      <x:c r="A66" s="20" t="str">
        <x:v>T063</x:v>
      </x:c>
      <x:c r="B66" s="21" t="n">
        <x:v>46308</x:v>
      </x:c>
      <x:c r="C66" s="20" t="str">
        <x:v>Week 3</x:v>
      </x:c>
      <x:c r="D66" s="20" t="str">
        <x:v>Methodology</x:v>
      </x:c>
      <x:c r="E66" s="20" t="str">
        <x:v>Select the research methodology used to answer the RQs</x:v>
      </x:c>
      <x:c r="F66" s="20" t="str">
        <x:v>Research-methodology choice</x:v>
      </x:c>
      <x:c r="G66" s="20" t="n">
        <x:v>0.5</x:v>
      </x:c>
      <x:c r="H66" s="20" t="str">
        <x:v>High</x:v>
      </x:c>
      <x:c r="I66" s="20" t="str"/>
      <x:c r="J66" s="20" t="str"/>
      <x:c r="K66" s="20" t="str">
        <x:v>Not Started</x:v>
      </x:c>
      <x:c r="L66" s="20" t="n">
        <x:f>IF(K66="Completed",100,IF(K66="In Progress",50,0))</x:f>
        <x:v>0</x:v>
      </x:c>
      <x:c r="M66" s="20"/>
      <x:c r="N66" s="20" t="str">
        <x:f>IF(OR(K66&lt;&gt;"Completed",M66=""),"",IF(M66&lt;4.5,"YES","NO"))</x:f>
      </x:c>
      <x:c r="O66" s="20" t="str">
        <x:f>IF(K66="Completed","Done",IF(B66&lt;TODAY(),"OVERDUE",IF(B66=TODAY(),"DUE TODAY","Upcoming")))</x:f>
        <x:v>Upcoming</x:v>
      </x:c>
      <x:c r="P66" s="21"/>
      <x:c r="Q66" s="20" t="str"/>
      <x:c r="R66" s="20" t="str"/>
    </x:row>
    <x:row r="67">
      <x:c r="A67" s="20" t="str">
        <x:v>T064</x:v>
      </x:c>
      <x:c r="B67" s="21" t="n">
        <x:v>46308</x:v>
      </x:c>
      <x:c r="C67" s="20" t="str">
        <x:v>Week 3</x:v>
      </x:c>
      <x:c r="D67" s="20" t="str">
        <x:v>Methodology</x:v>
      </x:c>
      <x:c r="E67" s="20" t="str">
        <x:v>Write the justification for the selected research methodology</x:v>
      </x:c>
      <x:c r="F67" s="20" t="str">
        <x:v>Research-methodology rationale</x:v>
      </x:c>
      <x:c r="G67" s="20" t="n">
        <x:v>0.5</x:v>
      </x:c>
      <x:c r="H67" s="20" t="str">
        <x:v>High</x:v>
      </x:c>
      <x:c r="I67" s="20" t="str"/>
      <x:c r="J67" s="20" t="str"/>
      <x:c r="K67" s="20" t="str">
        <x:v>Not Started</x:v>
      </x:c>
      <x:c r="L67" s="20" t="n">
        <x:f>IF(K67="Completed",100,IF(K67="In Progress",50,0))</x:f>
        <x:v>0</x:v>
      </x:c>
      <x:c r="M67" s="20"/>
      <x:c r="N67" s="20" t="str">
        <x:f>IF(OR(K67&lt;&gt;"Completed",M67=""),"",IF(M67&lt;4.5,"YES","NO"))</x:f>
      </x:c>
      <x:c r="O67" s="20" t="str">
        <x:f>IF(K67="Completed","Done",IF(B67&lt;TODAY(),"OVERDUE",IF(B67=TODAY(),"DUE TODAY","Upcoming")))</x:f>
        <x:v>Upcoming</x:v>
      </x:c>
      <x:c r="P67" s="21"/>
      <x:c r="Q67" s="20" t="str"/>
      <x:c r="R67" s="20" t="str"/>
    </x:row>
    <x:row r="68">
      <x:c r="A68" s="20" t="str">
        <x:v>T065</x:v>
      </x:c>
      <x:c r="B68" s="21" t="n">
        <x:v>46308</x:v>
      </x:c>
      <x:c r="C68" s="20" t="str">
        <x:v>Week 3</x:v>
      </x:c>
      <x:c r="D68" s="20" t="str">
        <x:v>Methodology</x:v>
      </x:c>
      <x:c r="E68" s="20" t="str">
        <x:v>Select the software development methodology/process</x:v>
      </x:c>
      <x:c r="F68" s="20" t="str">
        <x:v>Development-method choice</x:v>
      </x:c>
      <x:c r="G68" s="20" t="n">
        <x:v>0.5</x:v>
      </x:c>
      <x:c r="H68" s="20" t="str">
        <x:v>High</x:v>
      </x:c>
      <x:c r="I68" s="20" t="str"/>
      <x:c r="J68" s="20" t="str"/>
      <x:c r="K68" s="20" t="str">
        <x:v>Not Started</x:v>
      </x:c>
      <x:c r="L68" s="20" t="n">
        <x:f>IF(K68="Completed",100,IF(K68="In Progress",50,0))</x:f>
        <x:v>0</x:v>
      </x:c>
      <x:c r="M68" s="20"/>
      <x:c r="N68" s="20" t="str">
        <x:f>IF(OR(K68&lt;&gt;"Completed",M68=""),"",IF(M68&lt;4.5,"YES","NO"))</x:f>
      </x:c>
      <x:c r="O68" s="20" t="str">
        <x:f>IF(K68="Completed","Done",IF(B68&lt;TODAY(),"OVERDUE",IF(B68=TODAY(),"DUE TODAY","Upcoming")))</x:f>
        <x:v>Upcoming</x:v>
      </x:c>
      <x:c r="P68" s="21"/>
      <x:c r="Q68" s="20" t="str"/>
      <x:c r="R68" s="20" t="str"/>
    </x:row>
    <x:row r="69">
      <x:c r="A69" s="20" t="str">
        <x:v>T066</x:v>
      </x:c>
      <x:c r="B69" s="21" t="n">
        <x:v>46308</x:v>
      </x:c>
      <x:c r="C69" s="20" t="str">
        <x:v>Week 3</x:v>
      </x:c>
      <x:c r="D69" s="20" t="str">
        <x:v>Methodology</x:v>
      </x:c>
      <x:c r="E69" s="20" t="str">
        <x:v>Explain explicitly why the development method is not the research methodology</x:v>
      </x:c>
      <x:c r="F69" s="20" t="str">
        <x:v>Methodology distinction paragraph</x:v>
      </x:c>
      <x:c r="G69" s="20" t="n">
        <x:v>0.5</x:v>
      </x:c>
      <x:c r="H69" s="20" t="str">
        <x:v>High</x:v>
      </x:c>
      <x:c r="I69" s="20" t="str"/>
      <x:c r="J69" s="20" t="str"/>
      <x:c r="K69" s="20" t="str">
        <x:v>Not Started</x:v>
      </x:c>
      <x:c r="L69" s="20" t="n">
        <x:f>IF(K69="Completed",100,IF(K69="In Progress",50,0))</x:f>
        <x:v>0</x:v>
      </x:c>
      <x:c r="M69" s="20"/>
      <x:c r="N69" s="20" t="str">
        <x:f>IF(OR(K69&lt;&gt;"Completed",M69=""),"",IF(M69&lt;4.5,"YES","NO"))</x:f>
      </x:c>
      <x:c r="O69" s="20" t="str">
        <x:f>IF(K69="Completed","Done",IF(B69&lt;TODAY(),"OVERDUE",IF(B69=TODAY(),"DUE TODAY","Upcoming")))</x:f>
        <x:v>Upcoming</x:v>
      </x:c>
      <x:c r="P69" s="21"/>
      <x:c r="Q69" s="20" t="str"/>
      <x:c r="R69" s="20" t="str"/>
    </x:row>
    <x:row r="70">
      <x:c r="A70" s="20" t="str">
        <x:v>T067</x:v>
      </x:c>
      <x:c r="B70" s="21" t="n">
        <x:v>46309</x:v>
      </x:c>
      <x:c r="C70" s="20" t="str">
        <x:v>Week 3</x:v>
      </x:c>
      <x:c r="D70" s="20" t="str">
        <x:v>Evaluation Design</x:v>
      </x:c>
      <x:c r="E70" s="20" t="str">
        <x:v>Define Baseline 1 as equal-weight orchestration</x:v>
      </x:c>
      <x:c r="F70" s="20" t="str">
        <x:v>Baseline 1 specification</x:v>
      </x:c>
      <x:c r="G70" s="20" t="n">
        <x:v>0.5</x:v>
      </x:c>
      <x:c r="H70" s="20" t="str">
        <x:v>Critical</x:v>
      </x:c>
      <x:c r="I70" s="20" t="str"/>
      <x:c r="J70" s="20" t="str"/>
      <x:c r="K70" s="20" t="str">
        <x:v>Not Started</x:v>
      </x:c>
      <x:c r="L70" s="20" t="n">
        <x:f>IF(K70="Completed",100,IF(K70="In Progress",50,0))</x:f>
        <x:v>0</x:v>
      </x:c>
      <x:c r="M70" s="20"/>
      <x:c r="N70" s="20" t="str">
        <x:f>IF(OR(K70&lt;&gt;"Completed",M70=""),"",IF(M70&lt;4.5,"YES","NO"))</x:f>
      </x:c>
      <x:c r="O70" s="20" t="str">
        <x:f>IF(K70="Completed","Done",IF(B70&lt;TODAY(),"OVERDUE",IF(B70=TODAY(),"DUE TODAY","Upcoming")))</x:f>
        <x:v>Upcoming</x:v>
      </x:c>
      <x:c r="P70" s="21"/>
      <x:c r="Q70" s="20" t="str"/>
      <x:c r="R70" s="20" t="str"/>
    </x:row>
    <x:row r="71">
      <x:c r="A71" s="20" t="str">
        <x:v>T068</x:v>
      </x:c>
      <x:c r="B71" s="21" t="n">
        <x:v>46309</x:v>
      </x:c>
      <x:c r="C71" s="20" t="str">
        <x:v>Week 3</x:v>
      </x:c>
      <x:c r="D71" s="20" t="str">
        <x:v>Evaluation Design</x:v>
      </x:c>
      <x:c r="E71" s="20" t="str">
        <x:v>Define Baseline 2 as static learned weighting</x:v>
      </x:c>
      <x:c r="F71" s="20" t="str">
        <x:v>Baseline 2 specification</x:v>
      </x:c>
      <x:c r="G71" s="20" t="n">
        <x:v>0.5</x:v>
      </x:c>
      <x:c r="H71" s="20" t="str">
        <x:v>Critical</x:v>
      </x:c>
      <x:c r="I71" s="20" t="str"/>
      <x:c r="J71" s="20" t="str"/>
      <x:c r="K71" s="20" t="str">
        <x:v>Not Started</x:v>
      </x:c>
      <x:c r="L71" s="20" t="n">
        <x:f>IF(K71="Completed",100,IF(K71="In Progress",50,0))</x:f>
        <x:v>0</x:v>
      </x:c>
      <x:c r="M71" s="20"/>
      <x:c r="N71" s="20" t="str">
        <x:f>IF(OR(K71&lt;&gt;"Completed",M71=""),"",IF(M71&lt;4.5,"YES","NO"))</x:f>
      </x:c>
      <x:c r="O71" s="20" t="str">
        <x:f>IF(K71="Completed","Done",IF(B71&lt;TODAY(),"OVERDUE",IF(B71=TODAY(),"DUE TODAY","Upcoming")))</x:f>
        <x:v>Upcoming</x:v>
      </x:c>
      <x:c r="P71" s="21"/>
      <x:c r="Q71" s="20" t="str"/>
      <x:c r="R71" s="20" t="str"/>
    </x:row>
    <x:row r="72">
      <x:c r="A72" s="20" t="str">
        <x:v>T069</x:v>
      </x:c>
      <x:c r="B72" s="21" t="n">
        <x:v>46309</x:v>
      </x:c>
      <x:c r="C72" s="20" t="str">
        <x:v>Week 3</x:v>
      </x:c>
      <x:c r="D72" s="20" t="str">
        <x:v>Evaluation Design</x:v>
      </x:c>
      <x:c r="E72" s="20" t="str">
        <x:v>Define the proposed dynamic state-aware orchestration comparator</x:v>
      </x:c>
      <x:c r="F72" s="20" t="str">
        <x:v>Proposed-method specification</x:v>
      </x:c>
      <x:c r="G72" s="20" t="n">
        <x:v>0.5</x:v>
      </x:c>
      <x:c r="H72" s="20" t="str">
        <x:v>Critical</x:v>
      </x:c>
      <x:c r="I72" s="20" t="str"/>
      <x:c r="J72" s="20" t="str"/>
      <x:c r="K72" s="20" t="str">
        <x:v>Not Started</x:v>
      </x:c>
      <x:c r="L72" s="20" t="n">
        <x:f>IF(K72="Completed",100,IF(K72="In Progress",50,0))</x:f>
        <x:v>0</x:v>
      </x:c>
      <x:c r="M72" s="20"/>
      <x:c r="N72" s="20" t="str">
        <x:f>IF(OR(K72&lt;&gt;"Completed",M72=""),"",IF(M72&lt;4.5,"YES","NO"))</x:f>
      </x:c>
      <x:c r="O72" s="20" t="str">
        <x:f>IF(K72="Completed","Done",IF(B72&lt;TODAY(),"OVERDUE",IF(B72=TODAY(),"DUE TODAY","Upcoming")))</x:f>
        <x:v>Upcoming</x:v>
      </x:c>
      <x:c r="P72" s="21"/>
      <x:c r="Q72" s="20" t="str"/>
      <x:c r="R72" s="20" t="str"/>
    </x:row>
    <x:row r="73">
      <x:c r="A73" s="20" t="str">
        <x:v>T070</x:v>
      </x:c>
      <x:c r="B73" s="21" t="n">
        <x:v>46309</x:v>
      </x:c>
      <x:c r="C73" s="20" t="str">
        <x:v>Week 3</x:v>
      </x:c>
      <x:c r="D73" s="20" t="str">
        <x:v>Evaluation Design</x:v>
      </x:c>
      <x:c r="E73" s="20" t="str">
        <x:v>List the variables, data window and decision timing held constant across all methods</x:v>
      </x:c>
      <x:c r="F73" s="20" t="str">
        <x:v>Controlled-comparison specification</x:v>
      </x:c>
      <x:c r="G73" s="20" t="n">
        <x:v>0.5</x:v>
      </x:c>
      <x:c r="H73" s="20" t="str">
        <x:v>Critical</x:v>
      </x:c>
      <x:c r="I73" s="20" t="str"/>
      <x:c r="J73" s="20" t="str"/>
      <x:c r="K73" s="20" t="str">
        <x:v>Not Started</x:v>
      </x:c>
      <x:c r="L73" s="20" t="n">
        <x:f>IF(K73="Completed",100,IF(K73="In Progress",50,0))</x:f>
        <x:v>0</x:v>
      </x:c>
      <x:c r="M73" s="20"/>
      <x:c r="N73" s="20" t="str">
        <x:f>IF(OR(K73&lt;&gt;"Completed",M73=""),"",IF(M73&lt;4.5,"YES","NO"))</x:f>
      </x:c>
      <x:c r="O73" s="20" t="str">
        <x:f>IF(K73="Completed","Done",IF(B73&lt;TODAY(),"OVERDUE",IF(B73=TODAY(),"DUE TODAY","Upcoming")))</x:f>
        <x:v>Upcoming</x:v>
      </x:c>
      <x:c r="P73" s="21"/>
      <x:c r="Q73" s="20" t="str"/>
      <x:c r="R73" s="20" t="str"/>
    </x:row>
    <x:row r="74">
      <x:c r="A74" s="20" t="str">
        <x:v>T071</x:v>
      </x:c>
      <x:c r="B74" s="21" t="n">
        <x:v>46310</x:v>
      </x:c>
      <x:c r="C74" s="20" t="str">
        <x:v>Week 3</x:v>
      </x:c>
      <x:c r="D74" s="20" t="str">
        <x:v>Evaluation Design</x:v>
      </x:c>
      <x:c r="E74" s="20" t="str">
        <x:v>Select and define the primary performance metric</x:v>
      </x:c>
      <x:c r="F74" s="20" t="str">
        <x:v>Primary metric definition</x:v>
      </x:c>
      <x:c r="G74" s="20" t="n">
        <x:v>0.5</x:v>
      </x:c>
      <x:c r="H74" s="20" t="str">
        <x:v>High</x:v>
      </x:c>
      <x:c r="I74" s="20" t="str"/>
      <x:c r="J74" s="20" t="str"/>
      <x:c r="K74" s="20" t="str">
        <x:v>Not Started</x:v>
      </x:c>
      <x:c r="L74" s="20" t="n">
        <x:f>IF(K74="Completed",100,IF(K74="In Progress",50,0))</x:f>
        <x:v>0</x:v>
      </x:c>
      <x:c r="M74" s="20"/>
      <x:c r="N74" s="20" t="str">
        <x:f>IF(OR(K74&lt;&gt;"Completed",M74=""),"",IF(M74&lt;4.5,"YES","NO"))</x:f>
      </x:c>
      <x:c r="O74" s="20" t="str">
        <x:f>IF(K74="Completed","Done",IF(B74&lt;TODAY(),"OVERDUE",IF(B74=TODAY(),"DUE TODAY","Upcoming")))</x:f>
        <x:v>Upcoming</x:v>
      </x:c>
      <x:c r="P74" s="21"/>
      <x:c r="Q74" s="20" t="str"/>
      <x:c r="R74" s="20" t="str"/>
    </x:row>
    <x:row r="75">
      <x:c r="A75" s="20" t="str">
        <x:v>T072</x:v>
      </x:c>
      <x:c r="B75" s="21" t="n">
        <x:v>46310</x:v>
      </x:c>
      <x:c r="C75" s="20" t="str">
        <x:v>Week 3</x:v>
      </x:c>
      <x:c r="D75" s="20" t="str">
        <x:v>Evaluation Design</x:v>
      </x:c>
      <x:c r="E75" s="20" t="str">
        <x:v>Select and define the primary risk-adjusted metric</x:v>
      </x:c>
      <x:c r="F75" s="20" t="str">
        <x:v>Risk-adjusted metric definition</x:v>
      </x:c>
      <x:c r="G75" s="20" t="n">
        <x:v>0.5</x:v>
      </x:c>
      <x:c r="H75" s="20" t="str">
        <x:v>High</x:v>
      </x:c>
      <x:c r="I75" s="20" t="str"/>
      <x:c r="J75" s="20" t="str"/>
      <x:c r="K75" s="20" t="str">
        <x:v>Not Started</x:v>
      </x:c>
      <x:c r="L75" s="20" t="n">
        <x:f>IF(K75="Completed",100,IF(K75="In Progress",50,0))</x:f>
        <x:v>0</x:v>
      </x:c>
      <x:c r="M75" s="20"/>
      <x:c r="N75" s="20" t="str">
        <x:f>IF(OR(K75&lt;&gt;"Completed",M75=""),"",IF(M75&lt;4.5,"YES","NO"))</x:f>
      </x:c>
      <x:c r="O75" s="20" t="str">
        <x:f>IF(K75="Completed","Done",IF(B75&lt;TODAY(),"OVERDUE",IF(B75=TODAY(),"DUE TODAY","Upcoming")))</x:f>
        <x:v>Upcoming</x:v>
      </x:c>
      <x:c r="P75" s="21"/>
      <x:c r="Q75" s="20" t="str"/>
      <x:c r="R75" s="20" t="str"/>
    </x:row>
    <x:row r="76">
      <x:c r="A76" s="20" t="str">
        <x:v>T073</x:v>
      </x:c>
      <x:c r="B76" s="21" t="n">
        <x:v>46310</x:v>
      </x:c>
      <x:c r="C76" s="20" t="str">
        <x:v>Week 3</x:v>
      </x:c>
      <x:c r="D76" s="20" t="str">
        <x:v>Evaluation Design</x:v>
      </x:c>
      <x:c r="E76" s="20" t="str">
        <x:v>Select and define the drawdown/risk metric</x:v>
      </x:c>
      <x:c r="F76" s="20" t="str">
        <x:v>Risk metric definition</x:v>
      </x:c>
      <x:c r="G76" s="20" t="n">
        <x:v>0.5</x:v>
      </x:c>
      <x:c r="H76" s="20" t="str">
        <x:v>High</x:v>
      </x:c>
      <x:c r="I76" s="20" t="str"/>
      <x:c r="J76" s="20" t="str"/>
      <x:c r="K76" s="20" t="str">
        <x:v>Not Started</x:v>
      </x:c>
      <x:c r="L76" s="20" t="n">
        <x:f>IF(K76="Completed",100,IF(K76="In Progress",50,0))</x:f>
        <x:v>0</x:v>
      </x:c>
      <x:c r="M76" s="20"/>
      <x:c r="N76" s="20" t="str">
        <x:f>IF(OR(K76&lt;&gt;"Completed",M76=""),"",IF(M76&lt;4.5,"YES","NO"))</x:f>
      </x:c>
      <x:c r="O76" s="20" t="str">
        <x:f>IF(K76="Completed","Done",IF(B76&lt;TODAY(),"OVERDUE",IF(B76=TODAY(),"DUE TODAY","Upcoming")))</x:f>
        <x:v>Upcoming</x:v>
      </x:c>
      <x:c r="P76" s="21"/>
      <x:c r="Q76" s="20" t="str"/>
      <x:c r="R76" s="20" t="str"/>
    </x:row>
    <x:row r="77">
      <x:c r="A77" s="20" t="str">
        <x:v>T074</x:v>
      </x:c>
      <x:c r="B77" s="21" t="n">
        <x:v>46310</x:v>
      </x:c>
      <x:c r="C77" s="20" t="str">
        <x:v>Week 3</x:v>
      </x:c>
      <x:c r="D77" s="20" t="str">
        <x:v>Evaluation Design</x:v>
      </x:c>
      <x:c r="E77" s="20" t="str">
        <x:v>Justify how each selected metric answers an RQ</x:v>
      </x:c>
      <x:c r="F77" s="20" t="str">
        <x:v>Metric-to-RQ mapping</x:v>
      </x:c>
      <x:c r="G77" s="20" t="n">
        <x:v>0.5</x:v>
      </x:c>
      <x:c r="H77" s="20" t="str">
        <x:v>High</x:v>
      </x:c>
      <x:c r="I77" s="20" t="str"/>
      <x:c r="J77" s="20" t="str"/>
      <x:c r="K77" s="20" t="str">
        <x:v>Not Started</x:v>
      </x:c>
      <x:c r="L77" s="20" t="n">
        <x:f>IF(K77="Completed",100,IF(K77="In Progress",50,0))</x:f>
        <x:v>0</x:v>
      </x:c>
      <x:c r="M77" s="20"/>
      <x:c r="N77" s="20" t="str">
        <x:f>IF(OR(K77&lt;&gt;"Completed",M77=""),"",IF(M77&lt;4.5,"YES","NO"))</x:f>
      </x:c>
      <x:c r="O77" s="20" t="str">
        <x:f>IF(K77="Completed","Done",IF(B77&lt;TODAY(),"OVERDUE",IF(B77=TODAY(),"DUE TODAY","Upcoming")))</x:f>
        <x:v>Upcoming</x:v>
      </x:c>
      <x:c r="P77" s="21"/>
      <x:c r="Q77" s="20" t="str"/>
      <x:c r="R77" s="20" t="str"/>
    </x:row>
    <x:row r="78">
      <x:c r="A78" s="20" t="str">
        <x:v>T075</x:v>
      </x:c>
      <x:c r="B78" s="21" t="n">
        <x:v>46311</x:v>
      </x:c>
      <x:c r="C78" s="20" t="str">
        <x:v>Week 3</x:v>
      </x:c>
      <x:c r="D78" s="20" t="str">
        <x:v>Evaluation Design</x:v>
      </x:c>
      <x:c r="E78" s="20" t="str">
        <x:v>Define the temporal train/validation/test or walk-forward protocol</x:v>
      </x:c>
      <x:c r="F78" s="20" t="str">
        <x:v>Temporal evaluation protocol</x:v>
      </x:c>
      <x:c r="G78" s="20" t="n">
        <x:v>0.5</x:v>
      </x:c>
      <x:c r="H78" s="20" t="str">
        <x:v>Critical</x:v>
      </x:c>
      <x:c r="I78" s="20" t="str"/>
      <x:c r="J78" s="20" t="str"/>
      <x:c r="K78" s="20" t="str">
        <x:v>Not Started</x:v>
      </x:c>
      <x:c r="L78" s="20" t="n">
        <x:f>IF(K78="Completed",100,IF(K78="In Progress",50,0))</x:f>
        <x:v>0</x:v>
      </x:c>
      <x:c r="M78" s="20"/>
      <x:c r="N78" s="20" t="str">
        <x:f>IF(OR(K78&lt;&gt;"Completed",M78=""),"",IF(M78&lt;4.5,"YES","NO"))</x:f>
      </x:c>
      <x:c r="O78" s="20" t="str">
        <x:f>IF(K78="Completed","Done",IF(B78&lt;TODAY(),"OVERDUE",IF(B78=TODAY(),"DUE TODAY","Upcoming")))</x:f>
        <x:v>Upcoming</x:v>
      </x:c>
      <x:c r="P78" s="21"/>
      <x:c r="Q78" s="20" t="str"/>
      <x:c r="R78" s="20" t="str"/>
    </x:row>
    <x:row r="79">
      <x:c r="A79" s="20" t="str">
        <x:v>T076</x:v>
      </x:c>
      <x:c r="B79" s="21" t="n">
        <x:v>46311</x:v>
      </x:c>
      <x:c r="C79" s="20" t="str">
        <x:v>Week 3</x:v>
      </x:c>
      <x:c r="D79" s="20" t="str">
        <x:v>Evaluation Design</x:v>
      </x:c>
      <x:c r="E79" s="20" t="str">
        <x:v>Define the rule preventing look-ahead/data leakage</x:v>
      </x:c>
      <x:c r="F79" s="20" t="str">
        <x:v>Leakage-prevention rule</x:v>
      </x:c>
      <x:c r="G79" s="20" t="n">
        <x:v>0.5</x:v>
      </x:c>
      <x:c r="H79" s="20" t="str">
        <x:v>Critical</x:v>
      </x:c>
      <x:c r="I79" s="20" t="str"/>
      <x:c r="J79" s="20" t="str"/>
      <x:c r="K79" s="20" t="str">
        <x:v>Not Started</x:v>
      </x:c>
      <x:c r="L79" s="20" t="n">
        <x:f>IF(K79="Completed",100,IF(K79="In Progress",50,0))</x:f>
        <x:v>0</x:v>
      </x:c>
      <x:c r="M79" s="20"/>
      <x:c r="N79" s="20" t="str">
        <x:f>IF(OR(K79&lt;&gt;"Completed",M79=""),"",IF(M79&lt;4.5,"YES","NO"))</x:f>
      </x:c>
      <x:c r="O79" s="20" t="str">
        <x:f>IF(K79="Completed","Done",IF(B79&lt;TODAY(),"OVERDUE",IF(B79=TODAY(),"DUE TODAY","Upcoming")))</x:f>
        <x:v>Upcoming</x:v>
      </x:c>
      <x:c r="P79" s="21"/>
      <x:c r="Q79" s="20" t="str"/>
      <x:c r="R79" s="20" t="str"/>
    </x:row>
    <x:row r="80">
      <x:c r="A80" s="20" t="str">
        <x:v>T077</x:v>
      </x:c>
      <x:c r="B80" s="21" t="n">
        <x:v>46311</x:v>
      </x:c>
      <x:c r="C80" s="20" t="str">
        <x:v>Week 3</x:v>
      </x:c>
      <x:c r="D80" s="20" t="str">
        <x:v>Evaluation Design</x:v>
      </x:c>
      <x:c r="E80" s="20" t="str">
        <x:v>Define the transaction-cost assumption used in the PoC comparison</x:v>
      </x:c>
      <x:c r="F80" s="20" t="str">
        <x:v>Cost assumption</x:v>
      </x:c>
      <x:c r="G80" s="20" t="n">
        <x:v>0.5</x:v>
      </x:c>
      <x:c r="H80" s="20" t="str">
        <x:v>Critical</x:v>
      </x:c>
      <x:c r="I80" s="20" t="str"/>
      <x:c r="J80" s="20" t="str"/>
      <x:c r="K80" s="20" t="str">
        <x:v>Not Started</x:v>
      </x:c>
      <x:c r="L80" s="20" t="n">
        <x:f>IF(K80="Completed",100,IF(K80="In Progress",50,0))</x:f>
        <x:v>0</x:v>
      </x:c>
      <x:c r="M80" s="20"/>
      <x:c r="N80" s="20" t="str">
        <x:f>IF(OR(K80&lt;&gt;"Completed",M80=""),"",IF(M80&lt;4.5,"YES","NO"))</x:f>
      </x:c>
      <x:c r="O80" s="20" t="str">
        <x:f>IF(K80="Completed","Done",IF(B80&lt;TODAY(),"OVERDUE",IF(B80=TODAY(),"DUE TODAY","Upcoming")))</x:f>
        <x:v>Upcoming</x:v>
      </x:c>
      <x:c r="P80" s="21"/>
      <x:c r="Q80" s="20" t="str"/>
      <x:c r="R80" s="20" t="str"/>
    </x:row>
    <x:row r="81">
      <x:c r="A81" s="20" t="str">
        <x:v>T078</x:v>
      </x:c>
      <x:c r="B81" s="21" t="n">
        <x:v>46311</x:v>
      </x:c>
      <x:c r="C81" s="20" t="str">
        <x:v>Week 3</x:v>
      </x:c>
      <x:c r="D81" s="20" t="str">
        <x:v>Evaluation Design</x:v>
      </x:c>
      <x:c r="E81" s="20" t="str">
        <x:v>Define reproducibility controls including seeds, versions and experiment logging</x:v>
      </x:c>
      <x:c r="F81" s="20" t="str">
        <x:v>Reproducibility protocol</x:v>
      </x:c>
      <x:c r="G81" s="20" t="n">
        <x:v>0.5</x:v>
      </x:c>
      <x:c r="H81" s="20" t="str">
        <x:v>Critical</x:v>
      </x:c>
      <x:c r="I81" s="20" t="str"/>
      <x:c r="J81" s="20" t="str"/>
      <x:c r="K81" s="20" t="str">
        <x:v>Not Started</x:v>
      </x:c>
      <x:c r="L81" s="20" t="n">
        <x:f>IF(K81="Completed",100,IF(K81="In Progress",50,0))</x:f>
        <x:v>0</x:v>
      </x:c>
      <x:c r="M81" s="20"/>
      <x:c r="N81" s="20" t="str">
        <x:f>IF(OR(K81&lt;&gt;"Completed",M81=""),"",IF(M81&lt;4.5,"YES","NO"))</x:f>
      </x:c>
      <x:c r="O81" s="20" t="str">
        <x:f>IF(K81="Completed","Done",IF(B81&lt;TODAY(),"OVERDUE",IF(B81=TODAY(),"DUE TODAY","Upcoming")))</x:f>
        <x:v>Upcoming</x:v>
      </x:c>
      <x:c r="P81" s="21"/>
      <x:c r="Q81" s="20" t="str"/>
      <x:c r="R81" s="20" t="str"/>
    </x:row>
    <x:row r="82">
      <x:c r="A82" s="20" t="str">
        <x:v>T079</x:v>
      </x:c>
      <x:c r="B82" s="21" t="n">
        <x:v>46312</x:v>
      </x:c>
      <x:c r="C82" s="20" t="str">
        <x:v>Week 3</x:v>
      </x:c>
      <x:c r="D82" s="20" t="str">
        <x:v>Architecture</x:v>
      </x:c>
      <x:c r="E82" s="20" t="str">
        <x:v>Draw the component-level architecture</x:v>
      </x:c>
      <x:c r="F82" s="20" t="str">
        <x:v>Architecture diagram</x:v>
      </x:c>
      <x:c r="G82" s="20" t="n">
        <x:v>0.5</x:v>
      </x:c>
      <x:c r="H82" s="20" t="str">
        <x:v>Critical</x:v>
      </x:c>
      <x:c r="I82" s="20" t="str"/>
      <x:c r="J82" s="20" t="str"/>
      <x:c r="K82" s="20" t="str">
        <x:v>Not Started</x:v>
      </x:c>
      <x:c r="L82" s="20" t="n">
        <x:f>IF(K82="Completed",100,IF(K82="In Progress",50,0))</x:f>
        <x:v>0</x:v>
      </x:c>
      <x:c r="M82" s="20"/>
      <x:c r="N82" s="20" t="str">
        <x:f>IF(OR(K82&lt;&gt;"Completed",M82=""),"",IF(M82&lt;4.5,"YES","NO"))</x:f>
      </x:c>
      <x:c r="O82" s="20" t="str">
        <x:f>IF(K82="Completed","Done",IF(B82&lt;TODAY(),"OVERDUE",IF(B82=TODAY(),"DUE TODAY","Upcoming")))</x:f>
        <x:v>Upcoming</x:v>
      </x:c>
      <x:c r="P82" s="21"/>
      <x:c r="Q82" s="20" t="str"/>
      <x:c r="R82" s="20" t="str"/>
    </x:row>
    <x:row r="83">
      <x:c r="A83" s="20" t="str">
        <x:v>T080</x:v>
      </x:c>
      <x:c r="B83" s="21" t="n">
        <x:v>46312</x:v>
      </x:c>
      <x:c r="C83" s="20" t="str">
        <x:v>Week 3</x:v>
      </x:c>
      <x:c r="D83" s="20" t="str">
        <x:v>Architecture</x:v>
      </x:c>
      <x:c r="E83" s="20" t="str">
        <x:v>Draw the end-to-end data-flow diagram</x:v>
      </x:c>
      <x:c r="F83" s="20" t="str">
        <x:v>Data-flow diagram</x:v>
      </x:c>
      <x:c r="G83" s="20" t="n">
        <x:v>0.5</x:v>
      </x:c>
      <x:c r="H83" s="20" t="str">
        <x:v>Critical</x:v>
      </x:c>
      <x:c r="I83" s="20" t="str"/>
      <x:c r="J83" s="20" t="str"/>
      <x:c r="K83" s="20" t="str">
        <x:v>Not Started</x:v>
      </x:c>
      <x:c r="L83" s="20" t="n">
        <x:f>IF(K83="Completed",100,IF(K83="In Progress",50,0))</x:f>
        <x:v>0</x:v>
      </x:c>
      <x:c r="M83" s="20"/>
      <x:c r="N83" s="20" t="str">
        <x:f>IF(OR(K83&lt;&gt;"Completed",M83=""),"",IF(M83&lt;4.5,"YES","NO"))</x:f>
      </x:c>
      <x:c r="O83" s="20" t="str">
        <x:f>IF(K83="Completed","Done",IF(B83&lt;TODAY(),"OVERDUE",IF(B83=TODAY(),"DUE TODAY","Upcoming")))</x:f>
        <x:v>Upcoming</x:v>
      </x:c>
      <x:c r="P83" s="21"/>
      <x:c r="Q83" s="20" t="str"/>
      <x:c r="R83" s="20" t="str"/>
    </x:row>
    <x:row r="84">
      <x:c r="A84" s="20" t="str">
        <x:v>T081</x:v>
      </x:c>
      <x:c r="B84" s="21" t="n">
        <x:v>46312</x:v>
      </x:c>
      <x:c r="C84" s="20" t="str">
        <x:v>Week 3</x:v>
      </x:c>
      <x:c r="D84" s="20" t="str">
        <x:v>Architecture</x:v>
      </x:c>
      <x:c r="E84" s="20" t="str">
        <x:v>Define the Technical Agent input and output contract</x:v>
      </x:c>
      <x:c r="F84" s="20" t="str">
        <x:v>Technical-agent interface</x:v>
      </x:c>
      <x:c r="G84" s="20" t="n">
        <x:v>0.5</x:v>
      </x:c>
      <x:c r="H84" s="20" t="str">
        <x:v>Critical</x:v>
      </x:c>
      <x:c r="I84" s="20" t="str"/>
      <x:c r="J84" s="20" t="str"/>
      <x:c r="K84" s="20" t="str">
        <x:v>Not Started</x:v>
      </x:c>
      <x:c r="L84" s="20" t="n">
        <x:f>IF(K84="Completed",100,IF(K84="In Progress",50,0))</x:f>
        <x:v>0</x:v>
      </x:c>
      <x:c r="M84" s="20"/>
      <x:c r="N84" s="20" t="str">
        <x:f>IF(OR(K84&lt;&gt;"Completed",M84=""),"",IF(M84&lt;4.5,"YES","NO"))</x:f>
      </x:c>
      <x:c r="O84" s="20" t="str">
        <x:f>IF(K84="Completed","Done",IF(B84&lt;TODAY(),"OVERDUE",IF(B84=TODAY(),"DUE TODAY","Upcoming")))</x:f>
        <x:v>Upcoming</x:v>
      </x:c>
      <x:c r="P84" s="21"/>
      <x:c r="Q84" s="20" t="str"/>
      <x:c r="R84" s="20" t="str"/>
    </x:row>
    <x:row r="85">
      <x:c r="A85" s="20" t="str">
        <x:v>T082</x:v>
      </x:c>
      <x:c r="B85" s="21" t="n">
        <x:v>46312</x:v>
      </x:c>
      <x:c r="C85" s="20" t="str">
        <x:v>Week 3</x:v>
      </x:c>
      <x:c r="D85" s="20" t="str">
        <x:v>Architecture</x:v>
      </x:c>
      <x:c r="E85" s="20" t="str">
        <x:v>Define the Fundamental Agent input and output contract</x:v>
      </x:c>
      <x:c r="F85" s="20" t="str">
        <x:v>Fundamental-agent interface</x:v>
      </x:c>
      <x:c r="G85" s="20" t="n">
        <x:v>0.5</x:v>
      </x:c>
      <x:c r="H85" s="20" t="str">
        <x:v>Critical</x:v>
      </x:c>
      <x:c r="I85" s="20" t="str"/>
      <x:c r="J85" s="20" t="str"/>
      <x:c r="K85" s="20" t="str">
        <x:v>Not Started</x:v>
      </x:c>
      <x:c r="L85" s="20" t="n">
        <x:f>IF(K85="Completed",100,IF(K85="In Progress",50,0))</x:f>
        <x:v>0</x:v>
      </x:c>
      <x:c r="M85" s="20"/>
      <x:c r="N85" s="20" t="str">
        <x:f>IF(OR(K85&lt;&gt;"Completed",M85=""),"",IF(M85&lt;4.5,"YES","NO"))</x:f>
      </x:c>
      <x:c r="O85" s="20" t="str">
        <x:f>IF(K85="Completed","Done",IF(B85&lt;TODAY(),"OVERDUE",IF(B85=TODAY(),"DUE TODAY","Upcoming")))</x:f>
        <x:v>Upcoming</x:v>
      </x:c>
      <x:c r="P85" s="21"/>
      <x:c r="Q85" s="20" t="str"/>
      <x:c r="R85" s="20" t="str"/>
    </x:row>
    <x:row r="86">
      <x:c r="A86" s="20" t="str">
        <x:v>T083</x:v>
      </x:c>
      <x:c r="B86" s="21" t="n">
        <x:v>46312</x:v>
      </x:c>
      <x:c r="C86" s="20" t="str">
        <x:v>Week 3</x:v>
      </x:c>
      <x:c r="D86" s="20" t="str">
        <x:v>Architecture</x:v>
      </x:c>
      <x:c r="E86" s="20" t="str">
        <x:v>Define the Volatility Agent input and output contract</x:v>
      </x:c>
      <x:c r="F86" s="20" t="str">
        <x:v>Volatility-agent interface</x:v>
      </x:c>
      <x:c r="G86" s="20" t="n">
        <x:v>0.5</x:v>
      </x:c>
      <x:c r="H86" s="20" t="str">
        <x:v>Critical</x:v>
      </x:c>
      <x:c r="I86" s="20" t="str"/>
      <x:c r="J86" s="20" t="str"/>
      <x:c r="K86" s="20" t="str">
        <x:v>Not Started</x:v>
      </x:c>
      <x:c r="L86" s="20" t="n">
        <x:f>IF(K86="Completed",100,IF(K86="In Progress",50,0))</x:f>
        <x:v>0</x:v>
      </x:c>
      <x:c r="M86" s="20"/>
      <x:c r="N86" s="20" t="str">
        <x:f>IF(OR(K86&lt;&gt;"Completed",M86=""),"",IF(M86&lt;4.5,"YES","NO"))</x:f>
      </x:c>
      <x:c r="O86" s="20" t="str">
        <x:f>IF(K86="Completed","Done",IF(B86&lt;TODAY(),"OVERDUE",IF(B86=TODAY(),"DUE TODAY","Upcoming")))</x:f>
        <x:v>Upcoming</x:v>
      </x:c>
      <x:c r="P86" s="21"/>
      <x:c r="Q86" s="20" t="str"/>
      <x:c r="R86" s="20" t="str"/>
    </x:row>
    <x:row r="87">
      <x:c r="A87" s="20" t="str">
        <x:v>T084</x:v>
      </x:c>
      <x:c r="B87" s="21" t="n">
        <x:v>46312</x:v>
      </x:c>
      <x:c r="C87" s="20" t="str">
        <x:v>Week 3</x:v>
      </x:c>
      <x:c r="D87" s="20" t="str">
        <x:v>Architecture</x:v>
      </x:c>
      <x:c r="E87" s="20" t="str">
        <x:v>Define the Liquidity Agent input and output contract</x:v>
      </x:c>
      <x:c r="F87" s="20" t="str">
        <x:v>Liquidity-agent interface</x:v>
      </x:c>
      <x:c r="G87" s="20" t="n">
        <x:v>0.5</x:v>
      </x:c>
      <x:c r="H87" s="20" t="str">
        <x:v>Critical</x:v>
      </x:c>
      <x:c r="I87" s="20" t="str"/>
      <x:c r="J87" s="20" t="str"/>
      <x:c r="K87" s="20" t="str">
        <x:v>Not Started</x:v>
      </x:c>
      <x:c r="L87" s="20" t="n">
        <x:f>IF(K87="Completed",100,IF(K87="In Progress",50,0))</x:f>
        <x:v>0</x:v>
      </x:c>
      <x:c r="M87" s="20"/>
      <x:c r="N87" s="20" t="str">
        <x:f>IF(OR(K87&lt;&gt;"Completed",M87=""),"",IF(M87&lt;4.5,"YES","NO"))</x:f>
      </x:c>
      <x:c r="O87" s="20" t="str">
        <x:f>IF(K87="Completed","Done",IF(B87&lt;TODAY(),"OVERDUE",IF(B87=TODAY(),"DUE TODAY","Upcoming")))</x:f>
        <x:v>Upcoming</x:v>
      </x:c>
      <x:c r="P87" s="21"/>
      <x:c r="Q87" s="20" t="str"/>
      <x:c r="R87" s="20" t="str"/>
    </x:row>
    <x:row r="88">
      <x:c r="A88" s="20" t="str">
        <x:v>T085</x:v>
      </x:c>
      <x:c r="B88" s="21" t="n">
        <x:v>46312</x:v>
      </x:c>
      <x:c r="C88" s="20" t="str">
        <x:v>Week 3</x:v>
      </x:c>
      <x:c r="D88" s="20" t="str">
        <x:v>Architecture</x:v>
      </x:c>
      <x:c r="E88" s="20" t="str">
        <x:v>Define the Orchestrator input and output contract</x:v>
      </x:c>
      <x:c r="F88" s="20" t="str">
        <x:v>Orchestrator interface</x:v>
      </x:c>
      <x:c r="G88" s="20" t="n">
        <x:v>0.5</x:v>
      </x:c>
      <x:c r="H88" s="20" t="str">
        <x:v>Critical</x:v>
      </x:c>
      <x:c r="I88" s="20" t="str"/>
      <x:c r="J88" s="20" t="str"/>
      <x:c r="K88" s="20" t="str">
        <x:v>Not Started</x:v>
      </x:c>
      <x:c r="L88" s="20" t="n">
        <x:f>IF(K88="Completed",100,IF(K88="In Progress",50,0))</x:f>
        <x:v>0</x:v>
      </x:c>
      <x:c r="M88" s="20"/>
      <x:c r="N88" s="20" t="str">
        <x:f>IF(OR(K88&lt;&gt;"Completed",M88=""),"",IF(M88&lt;4.5,"YES","NO"))</x:f>
      </x:c>
      <x:c r="O88" s="20" t="str">
        <x:f>IF(K88="Completed","Done",IF(B88&lt;TODAY(),"OVERDUE",IF(B88=TODAY(),"DUE TODAY","Upcoming")))</x:f>
        <x:v>Upcoming</x:v>
      </x:c>
      <x:c r="P88" s="21"/>
      <x:c r="Q88" s="20" t="str"/>
      <x:c r="R88" s="20" t="str"/>
    </x:row>
    <x:row r="89">
      <x:c r="A89" s="20" t="str">
        <x:v>T086</x:v>
      </x:c>
      <x:c r="B89" s="21" t="n">
        <x:v>46312</x:v>
      </x:c>
      <x:c r="C89" s="20" t="str">
        <x:v>Week 3</x:v>
      </x:c>
      <x:c r="D89" s="20" t="str">
        <x:v>Architecture</x:v>
      </x:c>
      <x:c r="E89" s="20" t="str">
        <x:v>Define explicit abstention handling in the common output schema</x:v>
      </x:c>
      <x:c r="F89" s="20" t="str">
        <x:v>Abstention interface</x:v>
      </x:c>
      <x:c r="G89" s="20" t="n">
        <x:v>0.5</x:v>
      </x:c>
      <x:c r="H89" s="20" t="str">
        <x:v>Critical</x:v>
      </x:c>
      <x:c r="I89" s="20" t="str"/>
      <x:c r="J89" s="20" t="str">
        <x:v>Architecture frozen</x:v>
      </x:c>
      <x:c r="K89" s="20" t="str">
        <x:v>Not Started</x:v>
      </x:c>
      <x:c r="L89" s="20" t="n">
        <x:f>IF(K89="Completed",100,IF(K89="In Progress",50,0))</x:f>
        <x:v>0</x:v>
      </x:c>
      <x:c r="M89" s="20"/>
      <x:c r="N89" s="20" t="str">
        <x:f>IF(OR(K89&lt;&gt;"Completed",M89=""),"",IF(M89&lt;4.5,"YES","NO"))</x:f>
      </x:c>
      <x:c r="O89" s="20" t="str">
        <x:f>IF(K89="Completed","Done",IF(B89&lt;TODAY(),"OVERDUE",IF(B89=TODAY(),"DUE TODAY","Upcoming")))</x:f>
        <x:v>Upcoming</x:v>
      </x:c>
      <x:c r="P89" s="21"/>
      <x:c r="Q89" s="20" t="str"/>
      <x:c r="R89" s="20" t="str"/>
    </x:row>
    <x:row r="90">
      <x:c r="A90" s="20" t="str">
        <x:v>T087</x:v>
      </x:c>
      <x:c r="B90" s="21" t="n">
        <x:v>46313</x:v>
      </x:c>
      <x:c r="C90" s="20" t="str">
        <x:v>Week 3</x:v>
      </x:c>
      <x:c r="D90" s="20" t="str">
        <x:v>PoC Implementation</x:v>
      </x:c>
      <x:c r="E90" s="20" t="str">
        <x:v>Load the selected historical market dataset into the PoC pipeline</x:v>
      </x:c>
      <x:c r="F90" s="20" t="str">
        <x:v>Working market-data loader</x:v>
      </x:c>
      <x:c r="G90" s="20" t="n">
        <x:v>1</x:v>
      </x:c>
      <x:c r="H90" s="20" t="str">
        <x:v>Critical</x:v>
      </x:c>
      <x:c r="I90" s="20" t="str"/>
      <x:c r="J90" s="20" t="str"/>
      <x:c r="K90" s="20" t="str">
        <x:v>Not Started</x:v>
      </x:c>
      <x:c r="L90" s="20" t="n">
        <x:f>IF(K90="Completed",100,IF(K90="In Progress",50,0))</x:f>
        <x:v>0</x:v>
      </x:c>
      <x:c r="M90" s="20"/>
      <x:c r="N90" s="20" t="str">
        <x:f>IF(OR(K90&lt;&gt;"Completed",M90=""),"",IF(M90&lt;4.5,"YES","NO"))</x:f>
      </x:c>
      <x:c r="O90" s="20" t="str">
        <x:f>IF(K90="Completed","Done",IF(B90&lt;TODAY(),"OVERDUE",IF(B90=TODAY(),"DUE TODAY","Upcoming")))</x:f>
        <x:v>Upcoming</x:v>
      </x:c>
      <x:c r="P90" s="21"/>
      <x:c r="Q90" s="20" t="str"/>
      <x:c r="R90" s="20" t="str"/>
    </x:row>
    <x:row r="91">
      <x:c r="A91" s="20" t="str">
        <x:v>T088</x:v>
      </x:c>
      <x:c r="B91" s="21" t="n">
        <x:v>46313</x:v>
      </x:c>
      <x:c r="C91" s="20" t="str">
        <x:v>Week 3</x:v>
      </x:c>
      <x:c r="D91" s="20" t="str">
        <x:v>PoC Implementation</x:v>
      </x:c>
      <x:c r="E91" s="20" t="str">
        <x:v>Validate ticker/date types and ordering</x:v>
      </x:c>
      <x:c r="F91" s="20" t="str">
        <x:v>Schema-validation output</x:v>
      </x:c>
      <x:c r="G91" s="20" t="n">
        <x:v>1</x:v>
      </x:c>
      <x:c r="H91" s="20" t="str">
        <x:v>Critical</x:v>
      </x:c>
      <x:c r="I91" s="20" t="str"/>
      <x:c r="J91" s="20" t="str"/>
      <x:c r="K91" s="20" t="str">
        <x:v>Not Started</x:v>
      </x:c>
      <x:c r="L91" s="20" t="n">
        <x:f>IF(K91="Completed",100,IF(K91="In Progress",50,0))</x:f>
        <x:v>0</x:v>
      </x:c>
      <x:c r="M91" s="20"/>
      <x:c r="N91" s="20" t="str">
        <x:f>IF(OR(K91&lt;&gt;"Completed",M91=""),"",IF(M91&lt;4.5,"YES","NO"))</x:f>
      </x:c>
      <x:c r="O91" s="20" t="str">
        <x:f>IF(K91="Completed","Done",IF(B91&lt;TODAY(),"OVERDUE",IF(B91=TODAY(),"DUE TODAY","Upcoming")))</x:f>
        <x:v>Upcoming</x:v>
      </x:c>
      <x:c r="P91" s="21"/>
      <x:c r="Q91" s="20" t="str"/>
      <x:c r="R91" s="20" t="str"/>
    </x:row>
    <x:row r="92">
      <x:c r="A92" s="20" t="str">
        <x:v>T089</x:v>
      </x:c>
      <x:c r="B92" s="21" t="n">
        <x:v>46313</x:v>
      </x:c>
      <x:c r="C92" s="20" t="str">
        <x:v>Week 3</x:v>
      </x:c>
      <x:c r="D92" s="20" t="str">
        <x:v>PoC Implementation</x:v>
      </x:c>
      <x:c r="E92" s="20" t="str">
        <x:v>Implement return calculation</x:v>
      </x:c>
      <x:c r="F92" s="20" t="str">
        <x:v>Return feature</x:v>
      </x:c>
      <x:c r="G92" s="20" t="n">
        <x:v>1</x:v>
      </x:c>
      <x:c r="H92" s="20" t="str">
        <x:v>Critical</x:v>
      </x:c>
      <x:c r="I92" s="20" t="str"/>
      <x:c r="J92" s="20" t="str"/>
      <x:c r="K92" s="20" t="str">
        <x:v>Not Started</x:v>
      </x:c>
      <x:c r="L92" s="20" t="n">
        <x:f>IF(K92="Completed",100,IF(K92="In Progress",50,0))</x:f>
        <x:v>0</x:v>
      </x:c>
      <x:c r="M92" s="20"/>
      <x:c r="N92" s="20" t="str">
        <x:f>IF(OR(K92&lt;&gt;"Completed",M92=""),"",IF(M92&lt;4.5,"YES","NO"))</x:f>
      </x:c>
      <x:c r="O92" s="20" t="str">
        <x:f>IF(K92="Completed","Done",IF(B92&lt;TODAY(),"OVERDUE",IF(B92=TODAY(),"DUE TODAY","Upcoming")))</x:f>
        <x:v>Upcoming</x:v>
      </x:c>
      <x:c r="P92" s="21"/>
      <x:c r="Q92" s="20" t="str"/>
      <x:c r="R92" s="20" t="str"/>
    </x:row>
    <x:row r="93">
      <x:c r="A93" s="20" t="str">
        <x:v>T090</x:v>
      </x:c>
      <x:c r="B93" s="21" t="n">
        <x:v>46313</x:v>
      </x:c>
      <x:c r="C93" s="20" t="str">
        <x:v>Week 3</x:v>
      </x:c>
      <x:c r="D93" s="20" t="str">
        <x:v>PoC Implementation</x:v>
      </x:c>
      <x:c r="E93" s="20" t="str">
        <x:v>Implement the minimal justified technical-feature set</x:v>
      </x:c>
      <x:c r="F93" s="20" t="str">
        <x:v>Technical features</x:v>
      </x:c>
      <x:c r="G93" s="20" t="n">
        <x:v>1</x:v>
      </x:c>
      <x:c r="H93" s="20" t="str">
        <x:v>Critical</x:v>
      </x:c>
      <x:c r="I93" s="20" t="str"/>
      <x:c r="J93" s="20" t="str"/>
      <x:c r="K93" s="20" t="str">
        <x:v>Not Started</x:v>
      </x:c>
      <x:c r="L93" s="20" t="n">
        <x:f>IF(K93="Completed",100,IF(K93="In Progress",50,0))</x:f>
        <x:v>0</x:v>
      </x:c>
      <x:c r="M93" s="20"/>
      <x:c r="N93" s="20" t="str">
        <x:f>IF(OR(K93&lt;&gt;"Completed",M93=""),"",IF(M93&lt;4.5,"YES","NO"))</x:f>
      </x:c>
      <x:c r="O93" s="20" t="str">
        <x:f>IF(K93="Completed","Done",IF(B93&lt;TODAY(),"OVERDUE",IF(B93=TODAY(),"DUE TODAY","Upcoming")))</x:f>
        <x:v>Upcoming</x:v>
      </x:c>
      <x:c r="P93" s="21"/>
      <x:c r="Q93" s="20" t="str"/>
      <x:c r="R93" s="20" t="str"/>
    </x:row>
    <x:row r="94">
      <x:c r="A94" s="20" t="str">
        <x:v>T091</x:v>
      </x:c>
      <x:c r="B94" s="21" t="n">
        <x:v>46313</x:v>
      </x:c>
      <x:c r="C94" s="20" t="str">
        <x:v>Week 3</x:v>
      </x:c>
      <x:c r="D94" s="20" t="str">
        <x:v>PoC Implementation</x:v>
      </x:c>
      <x:c r="E94" s="20" t="str">
        <x:v>Implement liquidity-feature calculation using currently available fields</x:v>
      </x:c>
      <x:c r="F94" s="20" t="str">
        <x:v>Liquidity features</x:v>
      </x:c>
      <x:c r="G94" s="20" t="n">
        <x:v>1</x:v>
      </x:c>
      <x:c r="H94" s="20" t="str">
        <x:v>Critical</x:v>
      </x:c>
      <x:c r="I94" s="20" t="str"/>
      <x:c r="J94" s="20" t="str"/>
      <x:c r="K94" s="20" t="str">
        <x:v>Not Started</x:v>
      </x:c>
      <x:c r="L94" s="20" t="n">
        <x:f>IF(K94="Completed",100,IF(K94="In Progress",50,0))</x:f>
        <x:v>0</x:v>
      </x:c>
      <x:c r="M94" s="20"/>
      <x:c r="N94" s="20" t="str">
        <x:f>IF(OR(K94&lt;&gt;"Completed",M94=""),"",IF(M94&lt;4.5,"YES","NO"))</x:f>
      </x:c>
      <x:c r="O94" s="20" t="str">
        <x:f>IF(K94="Completed","Done",IF(B94&lt;TODAY(),"OVERDUE",IF(B94=TODAY(),"DUE TODAY","Upcoming")))</x:f>
        <x:v>Upcoming</x:v>
      </x:c>
      <x:c r="P94" s="21"/>
      <x:c r="Q94" s="20" t="str"/>
      <x:c r="R94" s="20" t="str"/>
    </x:row>
    <x:row r="95">
      <x:c r="A95" s="20" t="str">
        <x:v>T092</x:v>
      </x:c>
      <x:c r="B95" s="21" t="n">
        <x:v>46313</x:v>
      </x:c>
      <x:c r="C95" s="20" t="str">
        <x:v>Week 3</x:v>
      </x:c>
      <x:c r="D95" s="20" t="str">
        <x:v>PoC Implementation</x:v>
      </x:c>
      <x:c r="E95" s="20" t="str">
        <x:v>Implement volatility-level calculation</x:v>
      </x:c>
      <x:c r="F95" s="20" t="str">
        <x:v>Volatility feature</x:v>
      </x:c>
      <x:c r="G95" s="20" t="n">
        <x:v>1</x:v>
      </x:c>
      <x:c r="H95" s="20" t="str">
        <x:v>Critical</x:v>
      </x:c>
      <x:c r="I95" s="20" t="str"/>
      <x:c r="J95" s="20" t="str"/>
      <x:c r="K95" s="20" t="str">
        <x:v>Not Started</x:v>
      </x:c>
      <x:c r="L95" s="20" t="n">
        <x:f>IF(K95="Completed",100,IF(K95="In Progress",50,0))</x:f>
        <x:v>0</x:v>
      </x:c>
      <x:c r="M95" s="20"/>
      <x:c r="N95" s="20" t="str">
        <x:f>IF(OR(K95&lt;&gt;"Completed",M95=""),"",IF(M95&lt;4.5,"YES","NO"))</x:f>
      </x:c>
      <x:c r="O95" s="20" t="str">
        <x:f>IF(K95="Completed","Done",IF(B95&lt;TODAY(),"OVERDUE",IF(B95=TODAY(),"DUE TODAY","Upcoming")))</x:f>
        <x:v>Upcoming</x:v>
      </x:c>
      <x:c r="P95" s="21"/>
      <x:c r="Q95" s="20" t="str"/>
      <x:c r="R95" s="20" t="str"/>
    </x:row>
    <x:row r="96">
      <x:c r="A96" s="20" t="str">
        <x:v>T093</x:v>
      </x:c>
      <x:c r="B96" s="21" t="n">
        <x:v>46313</x:v>
      </x:c>
      <x:c r="C96" s="20" t="str">
        <x:v>Week 3</x:v>
      </x:c>
      <x:c r="D96" s="20" t="str">
        <x:v>PoC Implementation</x:v>
      </x:c>
      <x:c r="E96" s="20" t="str">
        <x:v>Implement persistence estimation or the agreed persistence proxy</x:v>
      </x:c>
      <x:c r="F96" s="20" t="str">
        <x:v>Persistence feature</x:v>
      </x:c>
      <x:c r="G96" s="20" t="n">
        <x:v>1</x:v>
      </x:c>
      <x:c r="H96" s="20" t="str">
        <x:v>Critical</x:v>
      </x:c>
      <x:c r="I96" s="20" t="str"/>
      <x:c r="J96" s="20" t="str"/>
      <x:c r="K96" s="20" t="str">
        <x:v>Not Started</x:v>
      </x:c>
      <x:c r="L96" s="20" t="n">
        <x:f>IF(K96="Completed",100,IF(K96="In Progress",50,0))</x:f>
        <x:v>0</x:v>
      </x:c>
      <x:c r="M96" s="20"/>
      <x:c r="N96" s="20" t="str">
        <x:f>IF(OR(K96&lt;&gt;"Completed",M96=""),"",IF(M96&lt;4.5,"YES","NO"))</x:f>
      </x:c>
      <x:c r="O96" s="20" t="str">
        <x:f>IF(K96="Completed","Done",IF(B96&lt;TODAY(),"OVERDUE",IF(B96=TODAY(),"DUE TODAY","Upcoming")))</x:f>
        <x:v>Upcoming</x:v>
      </x:c>
      <x:c r="P96" s="21"/>
      <x:c r="Q96" s="20" t="str"/>
      <x:c r="R96" s="20" t="str"/>
    </x:row>
    <x:row r="97">
      <x:c r="A97" s="20" t="str">
        <x:v>T094</x:v>
      </x:c>
      <x:c r="B97" s="21" t="n">
        <x:v>46313</x:v>
      </x:c>
      <x:c r="C97" s="20" t="str">
        <x:v>Week 3</x:v>
      </x:c>
      <x:c r="D97" s="20" t="str">
        <x:v>PoC Implementation</x:v>
      </x:c>
      <x:c r="E97" s="20" t="str">
        <x:v>Implement the common agent-output structure</x:v>
      </x:c>
      <x:c r="F97" s="20" t="str">
        <x:v>Common agent-output schema</x:v>
      </x:c>
      <x:c r="G97" s="20" t="n">
        <x:v>1</x:v>
      </x:c>
      <x:c r="H97" s="20" t="str">
        <x:v>Critical</x:v>
      </x:c>
      <x:c r="I97" s="20" t="str"/>
      <x:c r="J97" s="20" t="str"/>
      <x:c r="K97" s="20" t="str">
        <x:v>Not Started</x:v>
      </x:c>
      <x:c r="L97" s="20" t="n">
        <x:f>IF(K97="Completed",100,IF(K97="In Progress",50,0))</x:f>
        <x:v>0</x:v>
      </x:c>
      <x:c r="M97" s="20"/>
      <x:c r="N97" s="20" t="str">
        <x:f>IF(OR(K97&lt;&gt;"Completed",M97=""),"",IF(M97&lt;4.5,"YES","NO"))</x:f>
      </x:c>
      <x:c r="O97" s="20" t="str">
        <x:f>IF(K97="Completed","Done",IF(B97&lt;TODAY(),"OVERDUE",IF(B97=TODAY(),"DUE TODAY","Upcoming")))</x:f>
        <x:v>Upcoming</x:v>
      </x:c>
      <x:c r="P97" s="21"/>
      <x:c r="Q97" s="20" t="str"/>
      <x:c r="R97" s="20" t="str"/>
    </x:row>
    <x:row r="98">
      <x:c r="A98" s="20" t="str">
        <x:v>T095</x:v>
      </x:c>
      <x:c r="B98" s="21" t="n">
        <x:v>46313</x:v>
      </x:c>
      <x:c r="C98" s="20" t="str">
        <x:v>Week 3</x:v>
      </x:c>
      <x:c r="D98" s="20" t="str">
        <x:v>PoC Implementation</x:v>
      </x:c>
      <x:c r="E98" s="20" t="str">
        <x:v>Implement the Technical Agent output</x:v>
      </x:c>
      <x:c r="F98" s="20" t="str">
        <x:v>Technical-agent output</x:v>
      </x:c>
      <x:c r="G98" s="20" t="n">
        <x:v>1</x:v>
      </x:c>
      <x:c r="H98" s="20" t="str">
        <x:v>Critical</x:v>
      </x:c>
      <x:c r="I98" s="20" t="str"/>
      <x:c r="J98" s="20" t="str"/>
      <x:c r="K98" s="20" t="str">
        <x:v>Not Started</x:v>
      </x:c>
      <x:c r="L98" s="20" t="n">
        <x:f>IF(K98="Completed",100,IF(K98="In Progress",50,0))</x:f>
        <x:v>0</x:v>
      </x:c>
      <x:c r="M98" s="20"/>
      <x:c r="N98" s="20" t="str">
        <x:f>IF(OR(K98&lt;&gt;"Completed",M98=""),"",IF(M98&lt;4.5,"YES","NO"))</x:f>
      </x:c>
      <x:c r="O98" s="20" t="str">
        <x:f>IF(K98="Completed","Done",IF(B98&lt;TODAY(),"OVERDUE",IF(B98=TODAY(),"DUE TODAY","Upcoming")))</x:f>
        <x:v>Upcoming</x:v>
      </x:c>
      <x:c r="P98" s="21"/>
      <x:c r="Q98" s="20" t="str"/>
      <x:c r="R98" s="20" t="str"/>
    </x:row>
    <x:row r="99">
      <x:c r="A99" s="20" t="str">
        <x:v>T096</x:v>
      </x:c>
      <x:c r="B99" s="21" t="n">
        <x:v>46313</x:v>
      </x:c>
      <x:c r="C99" s="20" t="str">
        <x:v>Week 3</x:v>
      </x:c>
      <x:c r="D99" s="20" t="str">
        <x:v>PoC Implementation</x:v>
      </x:c>
      <x:c r="E99" s="20" t="str">
        <x:v>Implement the Volatility Agent output</x:v>
      </x:c>
      <x:c r="F99" s="20" t="str">
        <x:v>Volatility-agent output</x:v>
      </x:c>
      <x:c r="G99" s="20" t="n">
        <x:v>1</x:v>
      </x:c>
      <x:c r="H99" s="20" t="str">
        <x:v>Critical</x:v>
      </x:c>
      <x:c r="I99" s="20" t="str"/>
      <x:c r="J99" s="20" t="str"/>
      <x:c r="K99" s="20" t="str">
        <x:v>Not Started</x:v>
      </x:c>
      <x:c r="L99" s="20" t="n">
        <x:f>IF(K99="Completed",100,IF(K99="In Progress",50,0))</x:f>
        <x:v>0</x:v>
      </x:c>
      <x:c r="M99" s="20"/>
      <x:c r="N99" s="20" t="str">
        <x:f>IF(OR(K99&lt;&gt;"Completed",M99=""),"",IF(M99&lt;4.5,"YES","NO"))</x:f>
      </x:c>
      <x:c r="O99" s="20" t="str">
        <x:f>IF(K99="Completed","Done",IF(B99&lt;TODAY(),"OVERDUE",IF(B99=TODAY(),"DUE TODAY","Upcoming")))</x:f>
        <x:v>Upcoming</x:v>
      </x:c>
      <x:c r="P99" s="21"/>
      <x:c r="Q99" s="20" t="str"/>
      <x:c r="R99" s="20" t="str"/>
    </x:row>
    <x:row r="100">
      <x:c r="A100" s="20" t="str">
        <x:v>T097</x:v>
      </x:c>
      <x:c r="B100" s="21" t="n">
        <x:v>46313</x:v>
      </x:c>
      <x:c r="C100" s="20" t="str">
        <x:v>Week 3</x:v>
      </x:c>
      <x:c r="D100" s="20" t="str">
        <x:v>PoC Implementation</x:v>
      </x:c>
      <x:c r="E100" s="20" t="str">
        <x:v>Implement the Liquidity Agent output</x:v>
      </x:c>
      <x:c r="F100" s="20" t="str">
        <x:v>Liquidity-agent output</x:v>
      </x:c>
      <x:c r="G100" s="20" t="n">
        <x:v>1</x:v>
      </x:c>
      <x:c r="H100" s="20" t="str">
        <x:v>Critical</x:v>
      </x:c>
      <x:c r="I100" s="20" t="str"/>
      <x:c r="J100" s="20" t="str"/>
      <x:c r="K100" s="20" t="str">
        <x:v>Not Started</x:v>
      </x:c>
      <x:c r="L100" s="20" t="n">
        <x:f>IF(K100="Completed",100,IF(K100="In Progress",50,0))</x:f>
        <x:v>0</x:v>
      </x:c>
      <x:c r="M100" s="20"/>
      <x:c r="N100" s="20" t="str">
        <x:f>IF(OR(K100&lt;&gt;"Completed",M100=""),"",IF(M100&lt;4.5,"YES","NO"))</x:f>
      </x:c>
      <x:c r="O100" s="20" t="str">
        <x:f>IF(K100="Completed","Done",IF(B100&lt;TODAY(),"OVERDUE",IF(B100=TODAY(),"DUE TODAY","Upcoming")))</x:f>
        <x:v>Upcoming</x:v>
      </x:c>
      <x:c r="P100" s="21"/>
      <x:c r="Q100" s="20" t="str"/>
      <x:c r="R100" s="20" t="str"/>
    </x:row>
    <x:row r="101">
      <x:c r="A101" s="20" t="str">
        <x:v>T098</x:v>
      </x:c>
      <x:c r="B101" s="21" t="n">
        <x:v>46313</x:v>
      </x:c>
      <x:c r="C101" s="20" t="str">
        <x:v>Week 3</x:v>
      </x:c>
      <x:c r="D101" s="20" t="str">
        <x:v>PoC Implementation</x:v>
      </x:c>
      <x:c r="E101" s="20" t="str">
        <x:v>Run one representative ticker/date window through the integrated pipeline and save the output</x:v>
      </x:c>
      <x:c r="F101" s="20" t="str">
        <x:v>Integrated PoC execution evidence</x:v>
      </x:c>
      <x:c r="G101" s="20" t="n">
        <x:v>1</x:v>
      </x:c>
      <x:c r="H101" s="20" t="str">
        <x:v>Critical</x:v>
      </x:c>
      <x:c r="I101" s="20" t="str"/>
      <x:c r="J101" s="20" t="str">
        <x:v>Integrated PoC skeleton working</x:v>
      </x:c>
      <x:c r="K101" s="20" t="str">
        <x:v>Not Started</x:v>
      </x:c>
      <x:c r="L101" s="20" t="n">
        <x:f>IF(K101="Completed",100,IF(K101="In Progress",50,0))</x:f>
        <x:v>0</x:v>
      </x:c>
      <x:c r="M101" s="20"/>
      <x:c r="N101" s="20" t="str">
        <x:f>IF(OR(K101&lt;&gt;"Completed",M101=""),"",IF(M101&lt;4.5,"YES","NO"))</x:f>
      </x:c>
      <x:c r="O101" s="20" t="str">
        <x:f>IF(K101="Completed","Done",IF(B101&lt;TODAY(),"OVERDUE",IF(B101=TODAY(),"DUE TODAY","Upcoming")))</x:f>
        <x:v>Upcoming</x:v>
      </x:c>
      <x:c r="P101" s="21"/>
      <x:c r="Q101" s="20" t="str"/>
      <x:c r="R101" s="20" t="str"/>
    </x:row>
    <x:row r="102">
      <x:c r="A102" s="20" t="str">
        <x:v>T099</x:v>
      </x:c>
      <x:c r="B102" s="21" t="n">
        <x:v>46315</x:v>
      </x:c>
      <x:c r="C102" s="20" t="str">
        <x:v>Week 4</x:v>
      </x:c>
      <x:c r="D102" s="20" t="str">
        <x:v>Research Contribution</x:v>
      </x:c>
      <x:c r="E102" s="20" t="str">
        <x:v>Define L_t operationally in the orchestrator</x:v>
      </x:c>
      <x:c r="F102" s="20" t="str">
        <x:v>Operational L_t definition</x:v>
      </x:c>
      <x:c r="G102" s="20" t="n">
        <x:v>0.5</x:v>
      </x:c>
      <x:c r="H102" s="20" t="str">
        <x:v>Critical</x:v>
      </x:c>
      <x:c r="I102" s="20" t="str"/>
      <x:c r="J102" s="20" t="str"/>
      <x:c r="K102" s="20" t="str">
        <x:v>Not Started</x:v>
      </x:c>
      <x:c r="L102" s="20" t="n">
        <x:f>IF(K102="Completed",100,IF(K102="In Progress",50,0))</x:f>
        <x:v>0</x:v>
      </x:c>
      <x:c r="M102" s="20"/>
      <x:c r="N102" s="20" t="str">
        <x:f>IF(OR(K102&lt;&gt;"Completed",M102=""),"",IF(M102&lt;4.5,"YES","NO"))</x:f>
      </x:c>
      <x:c r="O102" s="20" t="str">
        <x:f>IF(K102="Completed","Done",IF(B102&lt;TODAY(),"OVERDUE",IF(B102=TODAY(),"DUE TODAY","Upcoming")))</x:f>
        <x:v>Upcoming</x:v>
      </x:c>
      <x:c r="P102" s="21"/>
      <x:c r="Q102" s="20" t="str"/>
      <x:c r="R102" s="20" t="str"/>
    </x:row>
    <x:row r="103">
      <x:c r="A103" s="20" t="str">
        <x:v>T100</x:v>
      </x:c>
      <x:c r="B103" s="21" t="n">
        <x:v>46315</x:v>
      </x:c>
      <x:c r="C103" s="20" t="str">
        <x:v>Week 4</x:v>
      </x:c>
      <x:c r="D103" s="20" t="str">
        <x:v>Research Contribution</x:v>
      </x:c>
      <x:c r="E103" s="20" t="str">
        <x:v>Define V_t operationally in the orchestrator</x:v>
      </x:c>
      <x:c r="F103" s="20" t="str">
        <x:v>Operational V_t definition</x:v>
      </x:c>
      <x:c r="G103" s="20" t="n">
        <x:v>0.5</x:v>
      </x:c>
      <x:c r="H103" s="20" t="str">
        <x:v>Critical</x:v>
      </x:c>
      <x:c r="I103" s="20" t="str"/>
      <x:c r="J103" s="20" t="str"/>
      <x:c r="K103" s="20" t="str">
        <x:v>Not Started</x:v>
      </x:c>
      <x:c r="L103" s="20" t="n">
        <x:f>IF(K103="Completed",100,IF(K103="In Progress",50,0))</x:f>
        <x:v>0</x:v>
      </x:c>
      <x:c r="M103" s="20"/>
      <x:c r="N103" s="20" t="str">
        <x:f>IF(OR(K103&lt;&gt;"Completed",M103=""),"",IF(M103&lt;4.5,"YES","NO"))</x:f>
      </x:c>
      <x:c r="O103" s="20" t="str">
        <x:f>IF(K103="Completed","Done",IF(B103&lt;TODAY(),"OVERDUE",IF(B103=TODAY(),"DUE TODAY","Upcoming")))</x:f>
        <x:v>Upcoming</x:v>
      </x:c>
      <x:c r="P103" s="21"/>
      <x:c r="Q103" s="20" t="str"/>
      <x:c r="R103" s="20" t="str"/>
    </x:row>
    <x:row r="104">
      <x:c r="A104" s="20" t="str">
        <x:v>T101</x:v>
      </x:c>
      <x:c r="B104" s="21" t="n">
        <x:v>46315</x:v>
      </x:c>
      <x:c r="C104" s="20" t="str">
        <x:v>Week 4</x:v>
      </x:c>
      <x:c r="D104" s="20" t="str">
        <x:v>Research Contribution</x:v>
      </x:c>
      <x:c r="E104" s="20" t="str">
        <x:v>Define P_t operationally in the orchestrator</x:v>
      </x:c>
      <x:c r="F104" s="20" t="str">
        <x:v>Operational P_t definition</x:v>
      </x:c>
      <x:c r="G104" s="20" t="n">
        <x:v>0.5</x:v>
      </x:c>
      <x:c r="H104" s="20" t="str">
        <x:v>Critical</x:v>
      </x:c>
      <x:c r="I104" s="20" t="str"/>
      <x:c r="J104" s="20" t="str"/>
      <x:c r="K104" s="20" t="str">
        <x:v>Not Started</x:v>
      </x:c>
      <x:c r="L104" s="20" t="n">
        <x:f>IF(K104="Completed",100,IF(K104="In Progress",50,0))</x:f>
        <x:v>0</x:v>
      </x:c>
      <x:c r="M104" s="20"/>
      <x:c r="N104" s="20" t="str">
        <x:f>IF(OR(K104&lt;&gt;"Completed",M104=""),"",IF(M104&lt;4.5,"YES","NO"))</x:f>
      </x:c>
      <x:c r="O104" s="20" t="str">
        <x:f>IF(K104="Completed","Done",IF(B104&lt;TODAY(),"OVERDUE",IF(B104=TODAY(),"DUE TODAY","Upcoming")))</x:f>
        <x:v>Upcoming</x:v>
      </x:c>
      <x:c r="P104" s="21"/>
      <x:c r="Q104" s="20" t="str"/>
      <x:c r="R104" s="20" t="str"/>
    </x:row>
    <x:row r="105">
      <x:c r="A105" s="20" t="str">
        <x:v>T102</x:v>
      </x:c>
      <x:c r="B105" s="21" t="n">
        <x:v>46315</x:v>
      </x:c>
      <x:c r="C105" s="20" t="str">
        <x:v>Week 4</x:v>
      </x:c>
      <x:c r="D105" s="20" t="str">
        <x:v>Research Contribution</x:v>
      </x:c>
      <x:c r="E105" s="20" t="str">
        <x:v>Define C_i,t operationally in the orchestrator</x:v>
      </x:c>
      <x:c r="F105" s="20" t="str">
        <x:v>Operational confidence definition</x:v>
      </x:c>
      <x:c r="G105" s="20" t="n">
        <x:v>0.5</x:v>
      </x:c>
      <x:c r="H105" s="20" t="str">
        <x:v>Critical</x:v>
      </x:c>
      <x:c r="I105" s="20" t="str"/>
      <x:c r="J105" s="20" t="str"/>
      <x:c r="K105" s="20" t="str">
        <x:v>Not Started</x:v>
      </x:c>
      <x:c r="L105" s="20" t="n">
        <x:f>IF(K105="Completed",100,IF(K105="In Progress",50,0))</x:f>
        <x:v>0</x:v>
      </x:c>
      <x:c r="M105" s="20"/>
      <x:c r="N105" s="20" t="str">
        <x:f>IF(OR(K105&lt;&gt;"Completed",M105=""),"",IF(M105&lt;4.5,"YES","NO"))</x:f>
      </x:c>
      <x:c r="O105" s="20" t="str">
        <x:f>IF(K105="Completed","Done",IF(B105&lt;TODAY(),"OVERDUE",IF(B105=TODAY(),"DUE TODAY","Upcoming")))</x:f>
        <x:v>Upcoming</x:v>
      </x:c>
      <x:c r="P105" s="21"/>
      <x:c r="Q105" s="20" t="str"/>
      <x:c r="R105" s="20" t="str"/>
    </x:row>
    <x:row r="106">
      <x:c r="A106" s="20" t="str">
        <x:v>T103</x:v>
      </x:c>
      <x:c r="B106" s="21" t="n">
        <x:v>46316</x:v>
      </x:c>
      <x:c r="C106" s="20" t="str">
        <x:v>Week 4</x:v>
      </x:c>
      <x:c r="D106" s="20" t="str">
        <x:v>PoC Implementation</x:v>
      </x:c>
      <x:c r="E106" s="20" t="str">
        <x:v>Implement the adaptive weighting function</x:v>
      </x:c>
      <x:c r="F106" s="20" t="str">
        <x:v>Adaptive weighting implementation</x:v>
      </x:c>
      <x:c r="G106" s="20" t="n">
        <x:v>0.5</x:v>
      </x:c>
      <x:c r="H106" s="20" t="str">
        <x:v>Critical</x:v>
      </x:c>
      <x:c r="I106" s="20" t="str"/>
      <x:c r="J106" s="20" t="str"/>
      <x:c r="K106" s="20" t="str">
        <x:v>Not Started</x:v>
      </x:c>
      <x:c r="L106" s="20" t="n">
        <x:f>IF(K106="Completed",100,IF(K106="In Progress",50,0))</x:f>
        <x:v>0</x:v>
      </x:c>
      <x:c r="M106" s="20"/>
      <x:c r="N106" s="20" t="str">
        <x:f>IF(OR(K106&lt;&gt;"Completed",M106=""),"",IF(M106&lt;4.5,"YES","NO"))</x:f>
      </x:c>
      <x:c r="O106" s="20" t="str">
        <x:f>IF(K106="Completed","Done",IF(B106&lt;TODAY(),"OVERDUE",IF(B106=TODAY(),"DUE TODAY","Upcoming")))</x:f>
        <x:v>Upcoming</x:v>
      </x:c>
      <x:c r="P106" s="21"/>
      <x:c r="Q106" s="20" t="str"/>
      <x:c r="R106" s="20" t="str"/>
    </x:row>
    <x:row r="107">
      <x:c r="A107" s="20" t="str">
        <x:v>T104</x:v>
      </x:c>
      <x:c r="B107" s="21" t="n">
        <x:v>46316</x:v>
      </x:c>
      <x:c r="C107" s="20" t="str">
        <x:v>Week 4</x:v>
      </x:c>
      <x:c r="D107" s="20" t="str">
        <x:v>PoC Implementation</x:v>
      </x:c>
      <x:c r="E107" s="20" t="str">
        <x:v>Connect L_t to the adaptive weighting function</x:v>
      </x:c>
      <x:c r="F107" s="20" t="str">
        <x:v>Liquidity-conditioned weighting</x:v>
      </x:c>
      <x:c r="G107" s="20" t="n">
        <x:v>0.5</x:v>
      </x:c>
      <x:c r="H107" s="20" t="str">
        <x:v>Critical</x:v>
      </x:c>
      <x:c r="I107" s="20" t="str"/>
      <x:c r="J107" s="20" t="str"/>
      <x:c r="K107" s="20" t="str">
        <x:v>Not Started</x:v>
      </x:c>
      <x:c r="L107" s="20" t="n">
        <x:f>IF(K107="Completed",100,IF(K107="In Progress",50,0))</x:f>
        <x:v>0</x:v>
      </x:c>
      <x:c r="M107" s="20"/>
      <x:c r="N107" s="20" t="str">
        <x:f>IF(OR(K107&lt;&gt;"Completed",M107=""),"",IF(M107&lt;4.5,"YES","NO"))</x:f>
      </x:c>
      <x:c r="O107" s="20" t="str">
        <x:f>IF(K107="Completed","Done",IF(B107&lt;TODAY(),"OVERDUE",IF(B107=TODAY(),"DUE TODAY","Upcoming")))</x:f>
        <x:v>Upcoming</x:v>
      </x:c>
      <x:c r="P107" s="21"/>
      <x:c r="Q107" s="20" t="str"/>
      <x:c r="R107" s="20" t="str"/>
    </x:row>
    <x:row r="108">
      <x:c r="A108" s="20" t="str">
        <x:v>T105</x:v>
      </x:c>
      <x:c r="B108" s="21" t="n">
        <x:v>46316</x:v>
      </x:c>
      <x:c r="C108" s="20" t="str">
        <x:v>Week 4</x:v>
      </x:c>
      <x:c r="D108" s="20" t="str">
        <x:v>PoC Implementation</x:v>
      </x:c>
      <x:c r="E108" s="20" t="str">
        <x:v>Connect V_t and P_t to the adaptive weighting function</x:v>
      </x:c>
      <x:c r="F108" s="20" t="str">
        <x:v>Volatility/persistence-conditioned weighting</x:v>
      </x:c>
      <x:c r="G108" s="20" t="n">
        <x:v>0.5</x:v>
      </x:c>
      <x:c r="H108" s="20" t="str">
        <x:v>Critical</x:v>
      </x:c>
      <x:c r="I108" s="20" t="str"/>
      <x:c r="J108" s="20" t="str"/>
      <x:c r="K108" s="20" t="str">
        <x:v>Not Started</x:v>
      </x:c>
      <x:c r="L108" s="20" t="n">
        <x:f>IF(K108="Completed",100,IF(K108="In Progress",50,0))</x:f>
        <x:v>0</x:v>
      </x:c>
      <x:c r="M108" s="20"/>
      <x:c r="N108" s="20" t="str">
        <x:f>IF(OR(K108&lt;&gt;"Completed",M108=""),"",IF(M108&lt;4.5,"YES","NO"))</x:f>
      </x:c>
      <x:c r="O108" s="20" t="str">
        <x:f>IF(K108="Completed","Done",IF(B108&lt;TODAY(),"OVERDUE",IF(B108=TODAY(),"DUE TODAY","Upcoming")))</x:f>
        <x:v>Upcoming</x:v>
      </x:c>
      <x:c r="P108" s="21"/>
      <x:c r="Q108" s="20" t="str"/>
      <x:c r="R108" s="20" t="str"/>
    </x:row>
    <x:row r="109">
      <x:c r="A109" s="20" t="str">
        <x:v>T106</x:v>
      </x:c>
      <x:c r="B109" s="21" t="n">
        <x:v>46316</x:v>
      </x:c>
      <x:c r="C109" s="20" t="str">
        <x:v>Week 4</x:v>
      </x:c>
      <x:c r="D109" s="20" t="str">
        <x:v>PoC Implementation</x:v>
      </x:c>
      <x:c r="E109" s="20" t="str">
        <x:v>Connect structural agent confidence and abstention to the adaptive weighting function</x:v>
      </x:c>
      <x:c r="F109" s="20" t="str">
        <x:v>Confidence/abstention-conditioned weighting</x:v>
      </x:c>
      <x:c r="G109" s="20" t="n">
        <x:v>0.5</x:v>
      </x:c>
      <x:c r="H109" s="20" t="str">
        <x:v>Critical</x:v>
      </x:c>
      <x:c r="I109" s="20" t="str"/>
      <x:c r="J109" s="20" t="str"/>
      <x:c r="K109" s="20" t="str">
        <x:v>Not Started</x:v>
      </x:c>
      <x:c r="L109" s="20" t="n">
        <x:f>IF(K109="Completed",100,IF(K109="In Progress",50,0))</x:f>
        <x:v>0</x:v>
      </x:c>
      <x:c r="M109" s="20"/>
      <x:c r="N109" s="20" t="str">
        <x:f>IF(OR(K109&lt;&gt;"Completed",M109=""),"",IF(M109&lt;4.5,"YES","NO"))</x:f>
      </x:c>
      <x:c r="O109" s="20" t="str">
        <x:f>IF(K109="Completed","Done",IF(B109&lt;TODAY(),"OVERDUE",IF(B109=TODAY(),"DUE TODAY","Upcoming")))</x:f>
        <x:v>Upcoming</x:v>
      </x:c>
      <x:c r="P109" s="21"/>
      <x:c r="Q109" s="20" t="str"/>
      <x:c r="R109" s="20" t="str"/>
    </x:row>
    <x:row r="110">
      <x:c r="A110" s="20" t="str">
        <x:v>T107</x:v>
      </x:c>
      <x:c r="B110" s="21" t="n">
        <x:v>46317</x:v>
      </x:c>
      <x:c r="C110" s="20" t="str">
        <x:v>Week 4</x:v>
      </x:c>
      <x:c r="D110" s="20" t="str">
        <x:v>PoC Evaluation</x:v>
      </x:c>
      <x:c r="E110" s="20" t="str">
        <x:v>Run the equal-weight baseline on the selected PoC window</x:v>
      </x:c>
      <x:c r="F110" s="20" t="str">
        <x:v>Baseline 1 result</x:v>
      </x:c>
      <x:c r="G110" s="20" t="n">
        <x:v>0.5</x:v>
      </x:c>
      <x:c r="H110" s="20" t="str">
        <x:v>Critical</x:v>
      </x:c>
      <x:c r="I110" s="20" t="str"/>
      <x:c r="J110" s="20" t="str"/>
      <x:c r="K110" s="20" t="str">
        <x:v>Not Started</x:v>
      </x:c>
      <x:c r="L110" s="20" t="n">
        <x:f>IF(K110="Completed",100,IF(K110="In Progress",50,0))</x:f>
        <x:v>0</x:v>
      </x:c>
      <x:c r="M110" s="20"/>
      <x:c r="N110" s="20" t="str">
        <x:f>IF(OR(K110&lt;&gt;"Completed",M110=""),"",IF(M110&lt;4.5,"YES","NO"))</x:f>
      </x:c>
      <x:c r="O110" s="20" t="str">
        <x:f>IF(K110="Completed","Done",IF(B110&lt;TODAY(),"OVERDUE",IF(B110=TODAY(),"DUE TODAY","Upcoming")))</x:f>
        <x:v>Upcoming</x:v>
      </x:c>
      <x:c r="P110" s="21"/>
      <x:c r="Q110" s="20" t="str"/>
      <x:c r="R110" s="20" t="str"/>
    </x:row>
    <x:row r="111">
      <x:c r="A111" s="20" t="str">
        <x:v>T108</x:v>
      </x:c>
      <x:c r="B111" s="21" t="n">
        <x:v>46317</x:v>
      </x:c>
      <x:c r="C111" s="20" t="str">
        <x:v>Week 4</x:v>
      </x:c>
      <x:c r="D111" s="20" t="str">
        <x:v>PoC Evaluation</x:v>
      </x:c>
      <x:c r="E111" s="20" t="str">
        <x:v>Run the static learned-weight baseline on the same window</x:v>
      </x:c>
      <x:c r="F111" s="20" t="str">
        <x:v>Baseline 2 result</x:v>
      </x:c>
      <x:c r="G111" s="20" t="n">
        <x:v>0.5</x:v>
      </x:c>
      <x:c r="H111" s="20" t="str">
        <x:v>Critical</x:v>
      </x:c>
      <x:c r="I111" s="20" t="str"/>
      <x:c r="J111" s="20" t="str"/>
      <x:c r="K111" s="20" t="str">
        <x:v>Not Started</x:v>
      </x:c>
      <x:c r="L111" s="20" t="n">
        <x:f>IF(K111="Completed",100,IF(K111="In Progress",50,0))</x:f>
        <x:v>0</x:v>
      </x:c>
      <x:c r="M111" s="20"/>
      <x:c r="N111" s="20" t="str">
        <x:f>IF(OR(K111&lt;&gt;"Completed",M111=""),"",IF(M111&lt;4.5,"YES","NO"))</x:f>
      </x:c>
      <x:c r="O111" s="20" t="str">
        <x:f>IF(K111="Completed","Done",IF(B111&lt;TODAY(),"OVERDUE",IF(B111=TODAY(),"DUE TODAY","Upcoming")))</x:f>
        <x:v>Upcoming</x:v>
      </x:c>
      <x:c r="P111" s="21"/>
      <x:c r="Q111" s="20" t="str"/>
      <x:c r="R111" s="20" t="str"/>
    </x:row>
    <x:row r="112">
      <x:c r="A112" s="20" t="str">
        <x:v>T109</x:v>
      </x:c>
      <x:c r="B112" s="21" t="n">
        <x:v>46317</x:v>
      </x:c>
      <x:c r="C112" s="20" t="str">
        <x:v>Week 4</x:v>
      </x:c>
      <x:c r="D112" s="20" t="str">
        <x:v>PoC Evaluation</x:v>
      </x:c>
      <x:c r="E112" s="20" t="str">
        <x:v>Run the proposed dynamic state-aware method on the same window</x:v>
      </x:c>
      <x:c r="F112" s="20" t="str">
        <x:v>Proposed-method result</x:v>
      </x:c>
      <x:c r="G112" s="20" t="n">
        <x:v>0.5</x:v>
      </x:c>
      <x:c r="H112" s="20" t="str">
        <x:v>Critical</x:v>
      </x:c>
      <x:c r="I112" s="20" t="str"/>
      <x:c r="J112" s="20" t="str"/>
      <x:c r="K112" s="20" t="str">
        <x:v>Not Started</x:v>
      </x:c>
      <x:c r="L112" s="20" t="n">
        <x:f>IF(K112="Completed",100,IF(K112="In Progress",50,0))</x:f>
        <x:v>0</x:v>
      </x:c>
      <x:c r="M112" s="20"/>
      <x:c r="N112" s="20" t="str">
        <x:f>IF(OR(K112&lt;&gt;"Completed",M112=""),"",IF(M112&lt;4.5,"YES","NO"))</x:f>
      </x:c>
      <x:c r="O112" s="20" t="str">
        <x:f>IF(K112="Completed","Done",IF(B112&lt;TODAY(),"OVERDUE",IF(B112=TODAY(),"DUE TODAY","Upcoming")))</x:f>
        <x:v>Upcoming</x:v>
      </x:c>
      <x:c r="P112" s="21"/>
      <x:c r="Q112" s="20" t="str"/>
      <x:c r="R112" s="20" t="str"/>
    </x:row>
    <x:row r="113">
      <x:c r="A113" s="20" t="str">
        <x:v>T110</x:v>
      </x:c>
      <x:c r="B113" s="21" t="n">
        <x:v>46317</x:v>
      </x:c>
      <x:c r="C113" s="20" t="str">
        <x:v>Week 4</x:v>
      </x:c>
      <x:c r="D113" s="20" t="str">
        <x:v>PoC Evaluation</x:v>
      </x:c>
      <x:c r="E113" s="20" t="str">
        <x:v>Store all three outputs in one directly comparable results table</x:v>
      </x:c>
      <x:c r="F113" s="20" t="str">
        <x:v>Comparable baseline table</x:v>
      </x:c>
      <x:c r="G113" s="20" t="n">
        <x:v>0.5</x:v>
      </x:c>
      <x:c r="H113" s="20" t="str">
        <x:v>Critical</x:v>
      </x:c>
      <x:c r="I113" s="20" t="str"/>
      <x:c r="J113" s="20" t="str"/>
      <x:c r="K113" s="20" t="str">
        <x:v>Not Started</x:v>
      </x:c>
      <x:c r="L113" s="20" t="n">
        <x:f>IF(K113="Completed",100,IF(K113="In Progress",50,0))</x:f>
        <x:v>0</x:v>
      </x:c>
      <x:c r="M113" s="20"/>
      <x:c r="N113" s="20" t="str">
        <x:f>IF(OR(K113&lt;&gt;"Completed",M113=""),"",IF(M113&lt;4.5,"YES","NO"))</x:f>
      </x:c>
      <x:c r="O113" s="20" t="str">
        <x:f>IF(K113="Completed","Done",IF(B113&lt;TODAY(),"OVERDUE",IF(B113=TODAY(),"DUE TODAY","Upcoming")))</x:f>
        <x:v>Upcoming</x:v>
      </x:c>
      <x:c r="P113" s="21"/>
      <x:c r="Q113" s="20" t="str"/>
      <x:c r="R113" s="20" t="str"/>
    </x:row>
    <x:row r="114">
      <x:c r="A114" s="20" t="str">
        <x:v>T111</x:v>
      </x:c>
      <x:c r="B114" s="21" t="n">
        <x:v>46318</x:v>
      </x:c>
      <x:c r="C114" s="20" t="str">
        <x:v>Week 4</x:v>
      </x:c>
      <x:c r="D114" s="20" t="str">
        <x:v>PoC Evaluation</x:v>
      </x:c>
      <x:c r="E114" s="20" t="str">
        <x:v>Run the proposed method with liquidity conditioning removed</x:v>
      </x:c>
      <x:c r="F114" s="20" t="str">
        <x:v>Ablation -Liquidity</x:v>
      </x:c>
      <x:c r="G114" s="20" t="n">
        <x:v>0.5</x:v>
      </x:c>
      <x:c r="H114" s="20" t="str">
        <x:v>High</x:v>
      </x:c>
      <x:c r="I114" s="20" t="str"/>
      <x:c r="J114" s="20" t="str"/>
      <x:c r="K114" s="20" t="str">
        <x:v>Not Started</x:v>
      </x:c>
      <x:c r="L114" s="20" t="n">
        <x:f>IF(K114="Completed",100,IF(K114="In Progress",50,0))</x:f>
        <x:v>0</x:v>
      </x:c>
      <x:c r="M114" s="20"/>
      <x:c r="N114" s="20" t="str">
        <x:f>IF(OR(K114&lt;&gt;"Completed",M114=""),"",IF(M114&lt;4.5,"YES","NO"))</x:f>
      </x:c>
      <x:c r="O114" s="20" t="str">
        <x:f>IF(K114="Completed","Done",IF(B114&lt;TODAY(),"OVERDUE",IF(B114=TODAY(),"DUE TODAY","Upcoming")))</x:f>
        <x:v>Upcoming</x:v>
      </x:c>
      <x:c r="P114" s="21"/>
      <x:c r="Q114" s="20" t="str"/>
      <x:c r="R114" s="20" t="str"/>
    </x:row>
    <x:row r="115">
      <x:c r="A115" s="20" t="str">
        <x:v>T112</x:v>
      </x:c>
      <x:c r="B115" s="21" t="n">
        <x:v>46318</x:v>
      </x:c>
      <x:c r="C115" s="20" t="str">
        <x:v>Week 4</x:v>
      </x:c>
      <x:c r="D115" s="20" t="str">
        <x:v>PoC Evaluation</x:v>
      </x:c>
      <x:c r="E115" s="20" t="str">
        <x:v>Run the proposed method with persistence conditioning removed</x:v>
      </x:c>
      <x:c r="F115" s="20" t="str">
        <x:v>Ablation -Persistence</x:v>
      </x:c>
      <x:c r="G115" s="20" t="n">
        <x:v>0.5</x:v>
      </x:c>
      <x:c r="H115" s="20" t="str">
        <x:v>High</x:v>
      </x:c>
      <x:c r="I115" s="20" t="str"/>
      <x:c r="J115" s="20" t="str"/>
      <x:c r="K115" s="20" t="str">
        <x:v>Not Started</x:v>
      </x:c>
      <x:c r="L115" s="20" t="n">
        <x:f>IF(K115="Completed",100,IF(K115="In Progress",50,0))</x:f>
        <x:v>0</x:v>
      </x:c>
      <x:c r="M115" s="20"/>
      <x:c r="N115" s="20" t="str">
        <x:f>IF(OR(K115&lt;&gt;"Completed",M115=""),"",IF(M115&lt;4.5,"YES","NO"))</x:f>
      </x:c>
      <x:c r="O115" s="20" t="str">
        <x:f>IF(K115="Completed","Done",IF(B115&lt;TODAY(),"OVERDUE",IF(B115=TODAY(),"DUE TODAY","Upcoming")))</x:f>
        <x:v>Upcoming</x:v>
      </x:c>
      <x:c r="P115" s="21"/>
      <x:c r="Q115" s="20" t="str"/>
      <x:c r="R115" s="20" t="str"/>
    </x:row>
    <x:row r="116">
      <x:c r="A116" s="20" t="str">
        <x:v>T113</x:v>
      </x:c>
      <x:c r="B116" s="21" t="n">
        <x:v>46318</x:v>
      </x:c>
      <x:c r="C116" s="20" t="str">
        <x:v>Week 4</x:v>
      </x:c>
      <x:c r="D116" s="20" t="str">
        <x:v>PoC Evaluation</x:v>
      </x:c>
      <x:c r="E116" s="20" t="str">
        <x:v>Record the exact metric change caused by removing liquidity</x:v>
      </x:c>
      <x:c r="F116" s="20" t="str">
        <x:v>Liquidity ablation result</x:v>
      </x:c>
      <x:c r="G116" s="20" t="n">
        <x:v>0.5</x:v>
      </x:c>
      <x:c r="H116" s="20" t="str">
        <x:v>High</x:v>
      </x:c>
      <x:c r="I116" s="20" t="str"/>
      <x:c r="J116" s="20" t="str"/>
      <x:c r="K116" s="20" t="str">
        <x:v>Not Started</x:v>
      </x:c>
      <x:c r="L116" s="20" t="n">
        <x:f>IF(K116="Completed",100,IF(K116="In Progress",50,0))</x:f>
        <x:v>0</x:v>
      </x:c>
      <x:c r="M116" s="20"/>
      <x:c r="N116" s="20" t="str">
        <x:f>IF(OR(K116&lt;&gt;"Completed",M116=""),"",IF(M116&lt;4.5,"YES","NO"))</x:f>
      </x:c>
      <x:c r="O116" s="20" t="str">
        <x:f>IF(K116="Completed","Done",IF(B116&lt;TODAY(),"OVERDUE",IF(B116=TODAY(),"DUE TODAY","Upcoming")))</x:f>
        <x:v>Upcoming</x:v>
      </x:c>
      <x:c r="P116" s="21"/>
      <x:c r="Q116" s="20" t="str"/>
      <x:c r="R116" s="20" t="str"/>
    </x:row>
    <x:row r="117">
      <x:c r="A117" s="20" t="str">
        <x:v>T114</x:v>
      </x:c>
      <x:c r="B117" s="21" t="n">
        <x:v>46318</x:v>
      </x:c>
      <x:c r="C117" s="20" t="str">
        <x:v>Week 4</x:v>
      </x:c>
      <x:c r="D117" s="20" t="str">
        <x:v>PoC Evaluation</x:v>
      </x:c>
      <x:c r="E117" s="20" t="str">
        <x:v>Record the exact metric change caused by removing persistence</x:v>
      </x:c>
      <x:c r="F117" s="20" t="str">
        <x:v>Persistence ablation result</x:v>
      </x:c>
      <x:c r="G117" s="20" t="n">
        <x:v>0.5</x:v>
      </x:c>
      <x:c r="H117" s="20" t="str">
        <x:v>High</x:v>
      </x:c>
      <x:c r="I117" s="20" t="str"/>
      <x:c r="J117" s="20" t="str"/>
      <x:c r="K117" s="20" t="str">
        <x:v>Not Started</x:v>
      </x:c>
      <x:c r="L117" s="20" t="n">
        <x:f>IF(K117="Completed",100,IF(K117="In Progress",50,0))</x:f>
        <x:v>0</x:v>
      </x:c>
      <x:c r="M117" s="20"/>
      <x:c r="N117" s="20" t="str">
        <x:f>IF(OR(K117&lt;&gt;"Completed",M117=""),"",IF(M117&lt;4.5,"YES","NO"))</x:f>
      </x:c>
      <x:c r="O117" s="20" t="str">
        <x:f>IF(K117="Completed","Done",IF(B117&lt;TODAY(),"OVERDUE",IF(B117=TODAY(),"DUE TODAY","Upcoming")))</x:f>
        <x:v>Upcoming</x:v>
      </x:c>
      <x:c r="P117" s="21"/>
      <x:c r="Q117" s="20" t="str"/>
      <x:c r="R117" s="20" t="str"/>
    </x:row>
    <x:row r="118">
      <x:c r="A118" s="20" t="str">
        <x:v>T115</x:v>
      </x:c>
      <x:c r="B118" s="21" t="n">
        <x:v>46319</x:v>
      </x:c>
      <x:c r="C118" s="20" t="str">
        <x:v>Week 4</x:v>
      </x:c>
      <x:c r="D118" s="20" t="str">
        <x:v>PoC Evaluation &amp; Testing</x:v>
      </x:c>
      <x:c r="E118" s="20" t="str">
        <x:v>Run the proposed method with confidence conditioning removed</x:v>
      </x:c>
      <x:c r="F118" s="20" t="str">
        <x:v>Ablation -Confidence</x:v>
      </x:c>
      <x:c r="G118" s="20" t="n">
        <x:v>0.5</x:v>
      </x:c>
      <x:c r="H118" s="20" t="str">
        <x:v>High</x:v>
      </x:c>
      <x:c r="I118" s="20" t="str"/>
      <x:c r="J118" s="20" t="str"/>
      <x:c r="K118" s="20" t="str">
        <x:v>Not Started</x:v>
      </x:c>
      <x:c r="L118" s="20" t="n">
        <x:f>IF(K118="Completed",100,IF(K118="In Progress",50,0))</x:f>
        <x:v>0</x:v>
      </x:c>
      <x:c r="M118" s="20"/>
      <x:c r="N118" s="20" t="str">
        <x:f>IF(OR(K118&lt;&gt;"Completed",M118=""),"",IF(M118&lt;4.5,"YES","NO"))</x:f>
      </x:c>
      <x:c r="O118" s="20" t="str">
        <x:f>IF(K118="Completed","Done",IF(B118&lt;TODAY(),"OVERDUE",IF(B118=TODAY(),"DUE TODAY","Upcoming")))</x:f>
        <x:v>Upcoming</x:v>
      </x:c>
      <x:c r="P118" s="21"/>
      <x:c r="Q118" s="20" t="str"/>
      <x:c r="R118" s="20" t="str"/>
    </x:row>
    <x:row r="119">
      <x:c r="A119" s="20" t="str">
        <x:v>T116</x:v>
      </x:c>
      <x:c r="B119" s="21" t="n">
        <x:v>46319</x:v>
      </x:c>
      <x:c r="C119" s="20" t="str">
        <x:v>Week 4</x:v>
      </x:c>
      <x:c r="D119" s="20" t="str">
        <x:v>PoC Evaluation &amp; Testing</x:v>
      </x:c>
      <x:c r="E119" s="20" t="str">
        <x:v>Run the proposed method with volatility-level conditioning removed if analytically distinct</x:v>
      </x:c>
      <x:c r="F119" s="20" t="str">
        <x:v>Ablation -Volatility</x:v>
      </x:c>
      <x:c r="G119" s="20" t="n">
        <x:v>0.5</x:v>
      </x:c>
      <x:c r="H119" s="20" t="str">
        <x:v>High</x:v>
      </x:c>
      <x:c r="I119" s="20" t="str"/>
      <x:c r="J119" s="20" t="str"/>
      <x:c r="K119" s="20" t="str">
        <x:v>Not Started</x:v>
      </x:c>
      <x:c r="L119" s="20" t="n">
        <x:f>IF(K119="Completed",100,IF(K119="In Progress",50,0))</x:f>
        <x:v>0</x:v>
      </x:c>
      <x:c r="M119" s="20"/>
      <x:c r="N119" s="20" t="str">
        <x:f>IF(OR(K119&lt;&gt;"Completed",M119=""),"",IF(M119&lt;4.5,"YES","NO"))</x:f>
      </x:c>
      <x:c r="O119" s="20" t="str">
        <x:f>IF(K119="Completed","Done",IF(B119&lt;TODAY(),"OVERDUE",IF(B119=TODAY(),"DUE TODAY","Upcoming")))</x:f>
        <x:v>Upcoming</x:v>
      </x:c>
      <x:c r="P119" s="21"/>
      <x:c r="Q119" s="20" t="str"/>
      <x:c r="R119" s="20" t="str"/>
    </x:row>
    <x:row r="120">
      <x:c r="A120" s="20" t="str">
        <x:v>T117</x:v>
      </x:c>
      <x:c r="B120" s="21" t="n">
        <x:v>46319</x:v>
      </x:c>
      <x:c r="C120" s="20" t="str">
        <x:v>Week 4</x:v>
      </x:c>
      <x:c r="D120" s="20" t="str">
        <x:v>PoC Evaluation &amp; Testing</x:v>
      </x:c>
      <x:c r="E120" s="20" t="str">
        <x:v>Record preliminary performance metrics for all PoC methods</x:v>
      </x:c>
      <x:c r="F120" s="20" t="str">
        <x:v>PoC metric table</x:v>
      </x:c>
      <x:c r="G120" s="20" t="n">
        <x:v>0.5</x:v>
      </x:c>
      <x:c r="H120" s="20" t="str">
        <x:v>High</x:v>
      </x:c>
      <x:c r="I120" s="20" t="str"/>
      <x:c r="J120" s="20" t="str"/>
      <x:c r="K120" s="20" t="str">
        <x:v>Not Started</x:v>
      </x:c>
      <x:c r="L120" s="20" t="n">
        <x:f>IF(K120="Completed",100,IF(K120="In Progress",50,0))</x:f>
        <x:v>0</x:v>
      </x:c>
      <x:c r="M120" s="20"/>
      <x:c r="N120" s="20" t="str">
        <x:f>IF(OR(K120&lt;&gt;"Completed",M120=""),"",IF(M120&lt;4.5,"YES","NO"))</x:f>
      </x:c>
      <x:c r="O120" s="20" t="str">
        <x:f>IF(K120="Completed","Done",IF(B120&lt;TODAY(),"OVERDUE",IF(B120=TODAY(),"DUE TODAY","Upcoming")))</x:f>
        <x:v>Upcoming</x:v>
      </x:c>
      <x:c r="P120" s="21"/>
      <x:c r="Q120" s="20" t="str"/>
      <x:c r="R120" s="20" t="str"/>
    </x:row>
    <x:row r="121">
      <x:c r="A121" s="20" t="str">
        <x:v>T118</x:v>
      </x:c>
      <x:c r="B121" s="21" t="n">
        <x:v>46319</x:v>
      </x:c>
      <x:c r="C121" s="20" t="str">
        <x:v>Week 4</x:v>
      </x:c>
      <x:c r="D121" s="20" t="str">
        <x:v>PoC Evaluation &amp; Testing</x:v>
      </x:c>
      <x:c r="E121" s="20" t="str">
        <x:v>Record preliminary risk metrics for all PoC methods</x:v>
      </x:c>
      <x:c r="F121" s="20" t="str">
        <x:v>PoC risk table</x:v>
      </x:c>
      <x:c r="G121" s="20" t="n">
        <x:v>0.5</x:v>
      </x:c>
      <x:c r="H121" s="20" t="str">
        <x:v>High</x:v>
      </x:c>
      <x:c r="I121" s="20" t="str"/>
      <x:c r="J121" s="20" t="str"/>
      <x:c r="K121" s="20" t="str">
        <x:v>Not Started</x:v>
      </x:c>
      <x:c r="L121" s="20" t="n">
        <x:f>IF(K121="Completed",100,IF(K121="In Progress",50,0))</x:f>
        <x:v>0</x:v>
      </x:c>
      <x:c r="M121" s="20"/>
      <x:c r="N121" s="20" t="str">
        <x:f>IF(OR(K121&lt;&gt;"Completed",M121=""),"",IF(M121&lt;4.5,"YES","NO"))</x:f>
      </x:c>
      <x:c r="O121" s="20" t="str">
        <x:f>IF(K121="Completed","Done",IF(B121&lt;TODAY(),"OVERDUE",IF(B121=TODAY(),"DUE TODAY","Upcoming")))</x:f>
        <x:v>Upcoming</x:v>
      </x:c>
      <x:c r="P121" s="21"/>
      <x:c r="Q121" s="20" t="str"/>
      <x:c r="R121" s="20" t="str"/>
    </x:row>
    <x:row r="122">
      <x:c r="A122" s="20" t="str">
        <x:v>T119</x:v>
      </x:c>
      <x:c r="B122" s="21" t="n">
        <x:v>46319</x:v>
      </x:c>
      <x:c r="C122" s="20" t="str">
        <x:v>Week 4</x:v>
      </x:c>
      <x:c r="D122" s="20" t="str">
        <x:v>PoC Evaluation &amp; Testing</x:v>
      </x:c>
      <x:c r="E122" s="20" t="str">
        <x:v>Record one unexpected or failure behaviour observed during the PoC</x:v>
      </x:c>
      <x:c r="F122" s="20" t="str">
        <x:v>PoC anomaly note</x:v>
      </x:c>
      <x:c r="G122" s="20" t="n">
        <x:v>0.5</x:v>
      </x:c>
      <x:c r="H122" s="20" t="str">
        <x:v>High</x:v>
      </x:c>
      <x:c r="I122" s="20" t="str"/>
      <x:c r="J122" s="20" t="str"/>
      <x:c r="K122" s="20" t="str">
        <x:v>Not Started</x:v>
      </x:c>
      <x:c r="L122" s="20" t="n">
        <x:f>IF(K122="Completed",100,IF(K122="In Progress",50,0))</x:f>
        <x:v>0</x:v>
      </x:c>
      <x:c r="M122" s="20"/>
      <x:c r="N122" s="20" t="str">
        <x:f>IF(OR(K122&lt;&gt;"Completed",M122=""),"",IF(M122&lt;4.5,"YES","NO"))</x:f>
      </x:c>
      <x:c r="O122" s="20" t="str">
        <x:f>IF(K122="Completed","Done",IF(B122&lt;TODAY(),"OVERDUE",IF(B122=TODAY(),"DUE TODAY","Upcoming")))</x:f>
        <x:v>Upcoming</x:v>
      </x:c>
      <x:c r="P122" s="21"/>
      <x:c r="Q122" s="20" t="str"/>
      <x:c r="R122" s="20" t="str"/>
    </x:row>
    <x:row r="123">
      <x:c r="A123" s="20" t="str">
        <x:v>T120</x:v>
      </x:c>
      <x:c r="B123" s="21" t="n">
        <x:v>46319</x:v>
      </x:c>
      <x:c r="C123" s="20" t="str">
        <x:v>Week 4</x:v>
      </x:c>
      <x:c r="D123" s="20" t="str">
        <x:v>PoC Evaluation &amp; Testing</x:v>
      </x:c>
      <x:c r="E123" s="20" t="str">
        <x:v>Write the current technical limitations of the PoC</x:v>
      </x:c>
      <x:c r="F123" s="20" t="str">
        <x:v>PoC limitation list</x:v>
      </x:c>
      <x:c r="G123" s="20" t="n">
        <x:v>0.5</x:v>
      </x:c>
      <x:c r="H123" s="20" t="str">
        <x:v>High</x:v>
      </x:c>
      <x:c r="I123" s="20" t="str"/>
      <x:c r="J123" s="20" t="str"/>
      <x:c r="K123" s="20" t="str">
        <x:v>Not Started</x:v>
      </x:c>
      <x:c r="L123" s="20" t="n">
        <x:f>IF(K123="Completed",100,IF(K123="In Progress",50,0))</x:f>
        <x:v>0</x:v>
      </x:c>
      <x:c r="M123" s="20"/>
      <x:c r="N123" s="20" t="str">
        <x:f>IF(OR(K123&lt;&gt;"Completed",M123=""),"",IF(M123&lt;4.5,"YES","NO"))</x:f>
      </x:c>
      <x:c r="O123" s="20" t="str">
        <x:f>IF(K123="Completed","Done",IF(B123&lt;TODAY(),"OVERDUE",IF(B123=TODAY(),"DUE TODAY","Upcoming")))</x:f>
        <x:v>Upcoming</x:v>
      </x:c>
      <x:c r="P123" s="21"/>
      <x:c r="Q123" s="20" t="str"/>
      <x:c r="R123" s="20" t="str"/>
    </x:row>
    <x:row r="124">
      <x:c r="A124" s="20" t="str">
        <x:v>T121</x:v>
      </x:c>
      <x:c r="B124" s="21" t="n">
        <x:v>46319</x:v>
      </x:c>
      <x:c r="C124" s="20" t="str">
        <x:v>Week 4</x:v>
      </x:c>
      <x:c r="D124" s="20" t="str">
        <x:v>PoC Evaluation &amp; Testing</x:v>
      </x:c>
      <x:c r="E124" s="20" t="str">
        <x:v>Write a unit-test plan for the implemented components</x:v>
      </x:c>
      <x:c r="F124" s="20" t="str">
        <x:v>Unit-test plan</x:v>
      </x:c>
      <x:c r="G124" s="20" t="n">
        <x:v>0.5</x:v>
      </x:c>
      <x:c r="H124" s="20" t="str">
        <x:v>High</x:v>
      </x:c>
      <x:c r="I124" s="20" t="str"/>
      <x:c r="J124" s="20" t="str"/>
      <x:c r="K124" s="20" t="str">
        <x:v>Not Started</x:v>
      </x:c>
      <x:c r="L124" s="20" t="n">
        <x:f>IF(K124="Completed",100,IF(K124="In Progress",50,0))</x:f>
        <x:v>0</x:v>
      </x:c>
      <x:c r="M124" s="20"/>
      <x:c r="N124" s="20" t="str">
        <x:f>IF(OR(K124&lt;&gt;"Completed",M124=""),"",IF(M124&lt;4.5,"YES","NO"))</x:f>
      </x:c>
      <x:c r="O124" s="20" t="str">
        <x:f>IF(K124="Completed","Done",IF(B124&lt;TODAY(),"OVERDUE",IF(B124=TODAY(),"DUE TODAY","Upcoming")))</x:f>
        <x:v>Upcoming</x:v>
      </x:c>
      <x:c r="P124" s="21"/>
      <x:c r="Q124" s="20" t="str"/>
      <x:c r="R124" s="20" t="str"/>
    </x:row>
    <x:row r="125">
      <x:c r="A125" s="20" t="str">
        <x:v>T122</x:v>
      </x:c>
      <x:c r="B125" s="21" t="n">
        <x:v>46319</x:v>
      </x:c>
      <x:c r="C125" s="20" t="str">
        <x:v>Week 4</x:v>
      </x:c>
      <x:c r="D125" s="20" t="str">
        <x:v>PoC Evaluation &amp; Testing</x:v>
      </x:c>
      <x:c r="E125" s="20" t="str">
        <x:v>Write an integration-test plan for the implemented interfaces</x:v>
      </x:c>
      <x:c r="F125" s="20" t="str">
        <x:v>Integration-test plan</x:v>
      </x:c>
      <x:c r="G125" s="20" t="n">
        <x:v>0.5</x:v>
      </x:c>
      <x:c r="H125" s="20" t="str">
        <x:v>High</x:v>
      </x:c>
      <x:c r="I125" s="20" t="str"/>
      <x:c r="J125" s="20" t="str"/>
      <x:c r="K125" s="20" t="str">
        <x:v>Not Started</x:v>
      </x:c>
      <x:c r="L125" s="20" t="n">
        <x:f>IF(K125="Completed",100,IF(K125="In Progress",50,0))</x:f>
        <x:v>0</x:v>
      </x:c>
      <x:c r="M125" s="20"/>
      <x:c r="N125" s="20" t="str">
        <x:f>IF(OR(K125&lt;&gt;"Completed",M125=""),"",IF(M125&lt;4.5,"YES","NO"))</x:f>
      </x:c>
      <x:c r="O125" s="20" t="str">
        <x:f>IF(K125="Completed","Done",IF(B125&lt;TODAY(),"OVERDUE",IF(B125=TODAY(),"DUE TODAY","Upcoming")))</x:f>
        <x:v>Upcoming</x:v>
      </x:c>
      <x:c r="P125" s="21"/>
      <x:c r="Q125" s="20" t="str"/>
      <x:c r="R125" s="20" t="str"/>
    </x:row>
    <x:row r="126">
      <x:c r="A126" s="20" t="str">
        <x:v>T123</x:v>
      </x:c>
      <x:c r="B126" s="21" t="n">
        <x:v>46320</x:v>
      </x:c>
      <x:c r="C126" s="20" t="str">
        <x:v>Week 4</x:v>
      </x:c>
      <x:c r="D126" s="20" t="str">
        <x:v>PoC Evaluation &amp; PP Evidence</x:v>
      </x:c>
      <x:c r="E126" s="20" t="str">
        <x:v>Reproduce the source paper's EWMA/target-volatility baseline setup</x:v>
      </x:c>
      <x:c r="F126" s="20" t="str">
        <x:v>Reproduced source baseline</x:v>
      </x:c>
      <x:c r="G126" s="20" t="n">
        <x:v>1</x:v>
      </x:c>
      <x:c r="H126" s="20" t="str">
        <x:v>Critical</x:v>
      </x:c>
      <x:c r="I126" s="20" t="str"/>
      <x:c r="J126" s="20" t="str"/>
      <x:c r="K126" s="20" t="str">
        <x:v>Not Started</x:v>
      </x:c>
      <x:c r="L126" s="20" t="n">
        <x:f>IF(K126="Completed",100,IF(K126="In Progress",50,0))</x:f>
        <x:v>0</x:v>
      </x:c>
      <x:c r="M126" s="20"/>
      <x:c r="N126" s="20" t="str">
        <x:f>IF(OR(K126&lt;&gt;"Completed",M126=""),"",IF(M126&lt;4.5,"YES","NO"))</x:f>
      </x:c>
      <x:c r="O126" s="20" t="str">
        <x:f>IF(K126="Completed","Done",IF(B126&lt;TODAY(),"OVERDUE",IF(B126=TODAY(),"DUE TODAY","Upcoming")))</x:f>
        <x:v>Upcoming</x:v>
      </x:c>
      <x:c r="P126" s="21"/>
      <x:c r="Q126" s="20" t="str"/>
      <x:c r="R126" s="20" t="str"/>
    </x:row>
    <x:row r="127">
      <x:c r="A127" s="20" t="str">
        <x:v>T124</x:v>
      </x:c>
      <x:c r="B127" s="21" t="n">
        <x:v>46320</x:v>
      </x:c>
      <x:c r="C127" s="20" t="str">
        <x:v>Week 4</x:v>
      </x:c>
      <x:c r="D127" s="20" t="str">
        <x:v>PoC Evaluation &amp; PP Evidence</x:v>
      </x:c>
      <x:c r="E127" s="20" t="str">
        <x:v>Check whether the reproduced baseline behaves approximately as reported</x:v>
      </x:c>
      <x:c r="F127" s="20" t="str">
        <x:v>Reproduction check</x:v>
      </x:c>
      <x:c r="G127" s="20" t="n">
        <x:v>1</x:v>
      </x:c>
      <x:c r="H127" s="20" t="str">
        <x:v>Critical</x:v>
      </x:c>
      <x:c r="I127" s="20" t="str"/>
      <x:c r="J127" s="20" t="str"/>
      <x:c r="K127" s="20" t="str">
        <x:v>Not Started</x:v>
      </x:c>
      <x:c r="L127" s="20" t="n">
        <x:f>IF(K127="Completed",100,IF(K127="In Progress",50,0))</x:f>
        <x:v>0</x:v>
      </x:c>
      <x:c r="M127" s="20"/>
      <x:c r="N127" s="20" t="str">
        <x:f>IF(OR(K127&lt;&gt;"Completed",M127=""),"",IF(M127&lt;4.5,"YES","NO"))</x:f>
      </x:c>
      <x:c r="O127" s="20" t="str">
        <x:f>IF(K127="Completed","Done",IF(B127&lt;TODAY(),"OVERDUE",IF(B127=TODAY(),"DUE TODAY","Upcoming")))</x:f>
        <x:v>Upcoming</x:v>
      </x:c>
      <x:c r="P127" s="21"/>
      <x:c r="Q127" s="20" t="str"/>
      <x:c r="R127" s="20" t="str"/>
    </x:row>
    <x:row r="128">
      <x:c r="A128" s="20" t="str">
        <x:v>T125</x:v>
      </x:c>
      <x:c r="B128" s="21" t="n">
        <x:v>46320</x:v>
      </x:c>
      <x:c r="C128" s="20" t="str">
        <x:v>Week 4</x:v>
      </x:c>
      <x:c r="D128" s="20" t="str">
        <x:v>PoC Evaluation &amp; PP Evidence</x:v>
      </x:c>
      <x:c r="E128" s="20" t="str">
        <x:v>Replace the exponential/EWMA decay with the persistence-aware decay rule</x:v>
      </x:c>
      <x:c r="F128" s="20" t="str">
        <x:v>Persistence-aware variant</x:v>
      </x:c>
      <x:c r="G128" s="20" t="n">
        <x:v>1</x:v>
      </x:c>
      <x:c r="H128" s="20" t="str">
        <x:v>Critical</x:v>
      </x:c>
      <x:c r="I128" s="20" t="str"/>
      <x:c r="J128" s="20" t="str"/>
      <x:c r="K128" s="20" t="str">
        <x:v>Not Started</x:v>
      </x:c>
      <x:c r="L128" s="20" t="n">
        <x:f>IF(K128="Completed",100,IF(K128="In Progress",50,0))</x:f>
        <x:v>0</x:v>
      </x:c>
      <x:c r="M128" s="20"/>
      <x:c r="N128" s="20" t="str">
        <x:f>IF(OR(K128&lt;&gt;"Completed",M128=""),"",IF(M128&lt;4.5,"YES","NO"))</x:f>
      </x:c>
      <x:c r="O128" s="20" t="str">
        <x:f>IF(K128="Completed","Done",IF(B128&lt;TODAY(),"OVERDUE",IF(B128=TODAY(),"DUE TODAY","Upcoming")))</x:f>
        <x:v>Upcoming</x:v>
      </x:c>
      <x:c r="P128" s="21"/>
      <x:c r="Q128" s="20" t="str"/>
      <x:c r="R128" s="20" t="str"/>
    </x:row>
    <x:row r="129">
      <x:c r="A129" s="20" t="str">
        <x:v>T126</x:v>
      </x:c>
      <x:c r="B129" s="21" t="n">
        <x:v>46320</x:v>
      </x:c>
      <x:c r="C129" s="20" t="str">
        <x:v>Week 4</x:v>
      </x:c>
      <x:c r="D129" s="20" t="str">
        <x:v>PoC Evaluation &amp; PP Evidence</x:v>
      </x:c>
      <x:c r="E129" s="20" t="str">
        <x:v>Run the persistence-aware variant under the same setup</x:v>
      </x:c>
      <x:c r="F129" s="20" t="str">
        <x:v>Persistence-aware result</x:v>
      </x:c>
      <x:c r="G129" s="20" t="n">
        <x:v>1</x:v>
      </x:c>
      <x:c r="H129" s="20" t="str">
        <x:v>Critical</x:v>
      </x:c>
      <x:c r="I129" s="20" t="str"/>
      <x:c r="J129" s="20" t="str"/>
      <x:c r="K129" s="20" t="str">
        <x:v>Not Started</x:v>
      </x:c>
      <x:c r="L129" s="20" t="n">
        <x:f>IF(K129="Completed",100,IF(K129="In Progress",50,0))</x:f>
        <x:v>0</x:v>
      </x:c>
      <x:c r="M129" s="20"/>
      <x:c r="N129" s="20" t="str">
        <x:f>IF(OR(K129&lt;&gt;"Completed",M129=""),"",IF(M129&lt;4.5,"YES","NO"))</x:f>
      </x:c>
      <x:c r="O129" s="20" t="str">
        <x:f>IF(K129="Completed","Done",IF(B129&lt;TODAY(),"OVERDUE",IF(B129=TODAY(),"DUE TODAY","Upcoming")))</x:f>
        <x:v>Upcoming</x:v>
      </x:c>
      <x:c r="P129" s="21"/>
      <x:c r="Q129" s="20" t="str"/>
      <x:c r="R129" s="20" t="str"/>
    </x:row>
    <x:row r="130">
      <x:c r="A130" s="20" t="str">
        <x:v>T127</x:v>
      </x:c>
      <x:c r="B130" s="21" t="n">
        <x:v>46320</x:v>
      </x:c>
      <x:c r="C130" s="20" t="str">
        <x:v>Week 4</x:v>
      </x:c>
      <x:c r="D130" s="20" t="str">
        <x:v>PoC Evaluation &amp; PP Evidence</x:v>
      </x:c>
      <x:c r="E130" s="20" t="str">
        <x:v>Compare risk-adjusted performance between the source baseline and persistence-aware variant</x:v>
      </x:c>
      <x:c r="F130" s="20" t="str">
        <x:v>Persistence comparison</x:v>
      </x:c>
      <x:c r="G130" s="20" t="n">
        <x:v>1</x:v>
      </x:c>
      <x:c r="H130" s="20" t="str">
        <x:v>Critical</x:v>
      </x:c>
      <x:c r="I130" s="20" t="str"/>
      <x:c r="J130" s="20" t="str"/>
      <x:c r="K130" s="20" t="str">
        <x:v>Not Started</x:v>
      </x:c>
      <x:c r="L130" s="20" t="n">
        <x:f>IF(K130="Completed",100,IF(K130="In Progress",50,0))</x:f>
        <x:v>0</x:v>
      </x:c>
      <x:c r="M130" s="20"/>
      <x:c r="N130" s="20" t="str">
        <x:f>IF(OR(K130&lt;&gt;"Completed",M130=""),"",IF(M130&lt;4.5,"YES","NO"))</x:f>
      </x:c>
      <x:c r="O130" s="20" t="str">
        <x:f>IF(K130="Completed","Done",IF(B130&lt;TODAY(),"OVERDUE",IF(B130=TODAY(),"DUE TODAY","Upcoming")))</x:f>
        <x:v>Upcoming</x:v>
      </x:c>
      <x:c r="P130" s="21"/>
      <x:c r="Q130" s="20" t="str"/>
      <x:c r="R130" s="20" t="str"/>
    </x:row>
    <x:row r="131">
      <x:c r="A131" s="20" t="str">
        <x:v>T128</x:v>
      </x:c>
      <x:c r="B131" s="21" t="n">
        <x:v>46320</x:v>
      </x:c>
      <x:c r="C131" s="20" t="str">
        <x:v>Week 4</x:v>
      </x:c>
      <x:c r="D131" s="20" t="str">
        <x:v>PoC Evaluation &amp; PP Evidence</x:v>
      </x:c>
      <x:c r="E131" s="20" t="str">
        <x:v>Record the result honestly even if persistence does not improve performance</x:v>
      </x:c>
      <x:c r="F131" s="20" t="str">
        <x:v>Sub-gap 2 evidence note</x:v>
      </x:c>
      <x:c r="G131" s="20" t="n">
        <x:v>1</x:v>
      </x:c>
      <x:c r="H131" s="20" t="str">
        <x:v>Critical</x:v>
      </x:c>
      <x:c r="I131" s="20" t="str"/>
      <x:c r="J131" s="20" t="str"/>
      <x:c r="K131" s="20" t="str">
        <x:v>Not Started</x:v>
      </x:c>
      <x:c r="L131" s="20" t="n">
        <x:f>IF(K131="Completed",100,IF(K131="In Progress",50,0))</x:f>
        <x:v>0</x:v>
      </x:c>
      <x:c r="M131" s="20"/>
      <x:c r="N131" s="20" t="str">
        <x:f>IF(OR(K131&lt;&gt;"Completed",M131=""),"",IF(M131&lt;4.5,"YES","NO"))</x:f>
      </x:c>
      <x:c r="O131" s="20" t="str">
        <x:f>IF(K131="Completed","Done",IF(B131&lt;TODAY(),"OVERDUE",IF(B131=TODAY(),"DUE TODAY","Upcoming")))</x:f>
        <x:v>Upcoming</x:v>
      </x:c>
      <x:c r="P131" s="21"/>
      <x:c r="Q131" s="20" t="str"/>
      <x:c r="R131" s="20" t="str"/>
    </x:row>
    <x:row r="132">
      <x:c r="A132" s="20" t="str">
        <x:v>T129</x:v>
      </x:c>
      <x:c r="B132" s="21" t="n">
        <x:v>46320</x:v>
      </x:c>
      <x:c r="C132" s="20" t="str">
        <x:v>Week 4</x:v>
      </x:c>
      <x:c r="D132" s="20" t="str">
        <x:v>PoC Evaluation &amp; PP Evidence</x:v>
      </x:c>
      <x:c r="E132" s="20" t="str">
        <x:v>Write the data-validation test plan</x:v>
      </x:c>
      <x:c r="F132" s="20" t="str">
        <x:v>Data-validation test plan</x:v>
      </x:c>
      <x:c r="G132" s="20" t="n">
        <x:v>1</x:v>
      </x:c>
      <x:c r="H132" s="20" t="str">
        <x:v>Critical</x:v>
      </x:c>
      <x:c r="I132" s="20" t="str"/>
      <x:c r="J132" s="20" t="str"/>
      <x:c r="K132" s="20" t="str">
        <x:v>Not Started</x:v>
      </x:c>
      <x:c r="L132" s="20" t="n">
        <x:f>IF(K132="Completed",100,IF(K132="In Progress",50,0))</x:f>
        <x:v>0</x:v>
      </x:c>
      <x:c r="M132" s="20"/>
      <x:c r="N132" s="20" t="str">
        <x:f>IF(OR(K132&lt;&gt;"Completed",M132=""),"",IF(M132&lt;4.5,"YES","NO"))</x:f>
      </x:c>
      <x:c r="O132" s="20" t="str">
        <x:f>IF(K132="Completed","Done",IF(B132&lt;TODAY(),"OVERDUE",IF(B132=TODAY(),"DUE TODAY","Upcoming")))</x:f>
        <x:v>Upcoming</x:v>
      </x:c>
      <x:c r="P132" s="21"/>
      <x:c r="Q132" s="20" t="str"/>
      <x:c r="R132" s="20" t="str"/>
    </x:row>
    <x:row r="133">
      <x:c r="A133" s="20" t="str">
        <x:v>T130</x:v>
      </x:c>
      <x:c r="B133" s="21" t="n">
        <x:v>46320</x:v>
      </x:c>
      <x:c r="C133" s="20" t="str">
        <x:v>Week 4</x:v>
      </x:c>
      <x:c r="D133" s="20" t="str">
        <x:v>PoC Evaluation &amp; PP Evidence</x:v>
      </x:c>
      <x:c r="E133" s="20" t="str">
        <x:v>Write the requirements-based system-test plan</x:v>
      </x:c>
      <x:c r="F133" s="20" t="str">
        <x:v>System-test plan</x:v>
      </x:c>
      <x:c r="G133" s="20" t="n">
        <x:v>1</x:v>
      </x:c>
      <x:c r="H133" s="20" t="str">
        <x:v>Critical</x:v>
      </x:c>
      <x:c r="I133" s="20" t="str"/>
      <x:c r="J133" s="20" t="str"/>
      <x:c r="K133" s="20" t="str">
        <x:v>Not Started</x:v>
      </x:c>
      <x:c r="L133" s="20" t="n">
        <x:f>IF(K133="Completed",100,IF(K133="In Progress",50,0))</x:f>
        <x:v>0</x:v>
      </x:c>
      <x:c r="M133" s="20"/>
      <x:c r="N133" s="20" t="str">
        <x:f>IF(OR(K133&lt;&gt;"Completed",M133=""),"",IF(M133&lt;4.5,"YES","NO"))</x:f>
      </x:c>
      <x:c r="O133" s="20" t="str">
        <x:f>IF(K133="Completed","Done",IF(B133&lt;TODAY(),"OVERDUE",IF(B133=TODAY(),"DUE TODAY","Upcoming")))</x:f>
        <x:v>Upcoming</x:v>
      </x:c>
      <x:c r="P133" s="21"/>
      <x:c r="Q133" s="20" t="str"/>
      <x:c r="R133" s="20" t="str"/>
    </x:row>
    <x:row r="134">
      <x:c r="A134" s="20" t="str">
        <x:v>T131</x:v>
      </x:c>
      <x:c r="B134" s="21" t="n">
        <x:v>46320</x:v>
      </x:c>
      <x:c r="C134" s="20" t="str">
        <x:v>Week 4</x:v>
      </x:c>
      <x:c r="D134" s="20" t="str">
        <x:v>PoC Evaluation &amp; PP Evidence</x:v>
      </x:c>
      <x:c r="E134" s="20" t="str">
        <x:v>Map each Must requirement to at least one planned test</x:v>
      </x:c>
      <x:c r="F134" s="20" t="str">
        <x:v>Requirement-test traceability</x:v>
      </x:c>
      <x:c r="G134" s="20" t="n">
        <x:v>1</x:v>
      </x:c>
      <x:c r="H134" s="20" t="str">
        <x:v>Critical</x:v>
      </x:c>
      <x:c r="I134" s="20" t="str"/>
      <x:c r="J134" s="20" t="str"/>
      <x:c r="K134" s="20" t="str">
        <x:v>Not Started</x:v>
      </x:c>
      <x:c r="L134" s="20" t="n">
        <x:f>IF(K134="Completed",100,IF(K134="In Progress",50,0))</x:f>
        <x:v>0</x:v>
      </x:c>
      <x:c r="M134" s="20"/>
      <x:c r="N134" s="20" t="str">
        <x:f>IF(OR(K134&lt;&gt;"Completed",M134=""),"",IF(M134&lt;4.5,"YES","NO"))</x:f>
      </x:c>
      <x:c r="O134" s="20" t="str">
        <x:f>IF(K134="Completed","Done",IF(B134&lt;TODAY(),"OVERDUE",IF(B134=TODAY(),"DUE TODAY","Upcoming")))</x:f>
        <x:v>Upcoming</x:v>
      </x:c>
      <x:c r="P134" s="21"/>
      <x:c r="Q134" s="20" t="str"/>
      <x:c r="R134" s="20" t="str"/>
    </x:row>
    <x:row r="135">
      <x:c r="A135" s="20" t="str">
        <x:v>T132</x:v>
      </x:c>
      <x:c r="B135" s="21" t="n">
        <x:v>46320</x:v>
      </x:c>
      <x:c r="C135" s="20" t="str">
        <x:v>Week 4</x:v>
      </x:c>
      <x:c r="D135" s="20" t="str">
        <x:v>PoC Evaluation &amp; PP Evidence</x:v>
      </x:c>
      <x:c r="E135" s="20" t="str">
        <x:v>Map each RQ to the experimental evidence that will answer it</x:v>
      </x:c>
      <x:c r="F135" s="20" t="str">
        <x:v>RQ-evidence traceability</x:v>
      </x:c>
      <x:c r="G135" s="20" t="n">
        <x:v>1</x:v>
      </x:c>
      <x:c r="H135" s="20" t="str">
        <x:v>Critical</x:v>
      </x:c>
      <x:c r="I135" s="20" t="str"/>
      <x:c r="J135" s="20" t="str"/>
      <x:c r="K135" s="20" t="str">
        <x:v>Not Started</x:v>
      </x:c>
      <x:c r="L135" s="20" t="n">
        <x:f>IF(K135="Completed",100,IF(K135="In Progress",50,0))</x:f>
        <x:v>0</x:v>
      </x:c>
      <x:c r="M135" s="20"/>
      <x:c r="N135" s="20" t="str">
        <x:f>IF(OR(K135&lt;&gt;"Completed",M135=""),"",IF(M135&lt;4.5,"YES","NO"))</x:f>
      </x:c>
      <x:c r="O135" s="20" t="str">
        <x:f>IF(K135="Completed","Done",IF(B135&lt;TODAY(),"OVERDUE",IF(B135=TODAY(),"DUE TODAY","Upcoming")))</x:f>
        <x:v>Upcoming</x:v>
      </x:c>
      <x:c r="P135" s="21"/>
      <x:c r="Q135" s="20" t="str"/>
      <x:c r="R135" s="20" t="str"/>
    </x:row>
    <x:row r="136">
      <x:c r="A136" s="20" t="str">
        <x:v>T133</x:v>
      </x:c>
      <x:c r="B136" s="21" t="n">
        <x:v>46320</x:v>
      </x:c>
      <x:c r="C136" s="20" t="str">
        <x:v>Week 4</x:v>
      </x:c>
      <x:c r="D136" s="20" t="str">
        <x:v>PoC Evaluation &amp; PP Evidence</x:v>
      </x:c>
      <x:c r="E136" s="20" t="str">
        <x:v>Capture one clean diagram/screenshot proving end-to-end PoC execution</x:v>
      </x:c>
      <x:c r="F136" s="20" t="str">
        <x:v>PoC evidence figure</x:v>
      </x:c>
      <x:c r="G136" s="20" t="n">
        <x:v>1</x:v>
      </x:c>
      <x:c r="H136" s="20" t="str">
        <x:v>Critical</x:v>
      </x:c>
      <x:c r="I136" s="20" t="str"/>
      <x:c r="J136" s="20" t="str"/>
      <x:c r="K136" s="20" t="str">
        <x:v>Not Started</x:v>
      </x:c>
      <x:c r="L136" s="20" t="n">
        <x:f>IF(K136="Completed",100,IF(K136="In Progress",50,0))</x:f>
        <x:v>0</x:v>
      </x:c>
      <x:c r="M136" s="20"/>
      <x:c r="N136" s="20" t="str">
        <x:f>IF(OR(K136&lt;&gt;"Completed",M136=""),"",IF(M136&lt;4.5,"YES","NO"))</x:f>
      </x:c>
      <x:c r="O136" s="20" t="str">
        <x:f>IF(K136="Completed","Done",IF(B136&lt;TODAY(),"OVERDUE",IF(B136=TODAY(),"DUE TODAY","Upcoming")))</x:f>
        <x:v>Upcoming</x:v>
      </x:c>
      <x:c r="P136" s="21"/>
      <x:c r="Q136" s="20" t="str"/>
      <x:c r="R136" s="20" t="str"/>
    </x:row>
    <x:row r="137">
      <x:c r="A137" s="20" t="str">
        <x:v>T134</x:v>
      </x:c>
      <x:c r="B137" s="21" t="n">
        <x:v>46320</x:v>
      </x:c>
      <x:c r="C137" s="20" t="str">
        <x:v>Week 4</x:v>
      </x:c>
      <x:c r="D137" s="20" t="str">
        <x:v>PoC Evaluation &amp; PP Evidence</x:v>
      </x:c>
      <x:c r="E137" s="20" t="str">
        <x:v>Capture one baseline/ablation results figure or table for the PP</x:v>
      </x:c>
      <x:c r="F137" s="20" t="str">
        <x:v>PoC comparison figure/table</x:v>
      </x:c>
      <x:c r="G137" s="20" t="n">
        <x:v>1</x:v>
      </x:c>
      <x:c r="H137" s="20" t="str">
        <x:v>Critical</x:v>
      </x:c>
      <x:c r="I137" s="20" t="str"/>
      <x:c r="J137" s="20" t="str">
        <x:v>PoC research mechanism demonstrated</x:v>
      </x:c>
      <x:c r="K137" s="20" t="str">
        <x:v>Not Started</x:v>
      </x:c>
      <x:c r="L137" s="20" t="n">
        <x:f>IF(K137="Completed",100,IF(K137="In Progress",50,0))</x:f>
        <x:v>0</x:v>
      </x:c>
      <x:c r="M137" s="20"/>
      <x:c r="N137" s="20" t="str">
        <x:f>IF(OR(K137&lt;&gt;"Completed",M137=""),"",IF(M137&lt;4.5,"YES","NO"))</x:f>
      </x:c>
      <x:c r="O137" s="20" t="str">
        <x:f>IF(K137="Completed","Done",IF(B137&lt;TODAY(),"OVERDUE",IF(B137=TODAY(),"DUE TODAY","Upcoming")))</x:f>
        <x:v>Upcoming</x:v>
      </x:c>
      <x:c r="P137" s="21"/>
      <x:c r="Q137" s="20" t="str"/>
      <x:c r="R137" s="20" t="str"/>
    </x:row>
    <x:row r="138">
      <x:c r="A138" s="20" t="str">
        <x:v>T135</x:v>
      </x:c>
      <x:c r="B138" s="21" t="n">
        <x:v>46322</x:v>
      </x:c>
      <x:c r="C138" s="20" t="str">
        <x:v>Week 5</x:v>
      </x:c>
      <x:c r="D138" s="20" t="str">
        <x:v>PP Slides</x:v>
      </x:c>
      <x:c r="E138" s="20" t="str">
        <x:v>Complete Slide 1: title and one-sentence research focus</x:v>
      </x:c>
      <x:c r="F138" s="20" t="str">
        <x:v>Slide 1 final</x:v>
      </x:c>
      <x:c r="G138" s="20" t="n">
        <x:v>0.5</x:v>
      </x:c>
      <x:c r="H138" s="20" t="str">
        <x:v>Critical</x:v>
      </x:c>
      <x:c r="I138" s="20" t="str"/>
      <x:c r="J138" s="20" t="str"/>
      <x:c r="K138" s="20" t="str">
        <x:v>Not Started</x:v>
      </x:c>
      <x:c r="L138" s="20" t="n">
        <x:f>IF(K138="Completed",100,IF(K138="In Progress",50,0))</x:f>
        <x:v>0</x:v>
      </x:c>
      <x:c r="M138" s="20"/>
      <x:c r="N138" s="20" t="str">
        <x:f>IF(OR(K138&lt;&gt;"Completed",M138=""),"",IF(M138&lt;4.5,"YES","NO"))</x:f>
      </x:c>
      <x:c r="O138" s="20" t="str">
        <x:f>IF(K138="Completed","Done",IF(B138&lt;TODAY(),"OVERDUE",IF(B138=TODAY(),"DUE TODAY","Upcoming")))</x:f>
        <x:v>Upcoming</x:v>
      </x:c>
      <x:c r="P138" s="21"/>
      <x:c r="Q138" s="20" t="str"/>
      <x:c r="R138" s="20" t="str"/>
    </x:row>
    <x:row r="139">
      <x:c r="A139" s="20" t="str">
        <x:v>T136</x:v>
      </x:c>
      <x:c r="B139" s="21" t="n">
        <x:v>46322</x:v>
      </x:c>
      <x:c r="C139" s="20" t="str">
        <x:v>Week 5</x:v>
      </x:c>
      <x:c r="D139" s="20" t="str">
        <x:v>PP Slides</x:v>
      </x:c>
      <x:c r="E139" s="20" t="str">
        <x:v>Complete Slide 2: research-SE storyline</x:v>
      </x:c>
      <x:c r="F139" s="20" t="str">
        <x:v>Slide 2 final</x:v>
      </x:c>
      <x:c r="G139" s="20" t="n">
        <x:v>0.5</x:v>
      </x:c>
      <x:c r="H139" s="20" t="str">
        <x:v>Critical</x:v>
      </x:c>
      <x:c r="I139" s="20" t="str"/>
      <x:c r="J139" s="20" t="str"/>
      <x:c r="K139" s="20" t="str">
        <x:v>Not Started</x:v>
      </x:c>
      <x:c r="L139" s="20" t="n">
        <x:f>IF(K139="Completed",100,IF(K139="In Progress",50,0))</x:f>
        <x:v>0</x:v>
      </x:c>
      <x:c r="M139" s="20"/>
      <x:c r="N139" s="20" t="str">
        <x:f>IF(OR(K139&lt;&gt;"Completed",M139=""),"",IF(M139&lt;4.5,"YES","NO"))</x:f>
      </x:c>
      <x:c r="O139" s="20" t="str">
        <x:f>IF(K139="Completed","Done",IF(B139&lt;TODAY(),"OVERDUE",IF(B139=TODAY(),"DUE TODAY","Upcoming")))</x:f>
        <x:v>Upcoming</x:v>
      </x:c>
      <x:c r="P139" s="21"/>
      <x:c r="Q139" s="20" t="str"/>
      <x:c r="R139" s="20" t="str"/>
    </x:row>
    <x:row r="140">
      <x:c r="A140" s="20" t="str">
        <x:v>T137</x:v>
      </x:c>
      <x:c r="B140" s="21" t="n">
        <x:v>46322</x:v>
      </x:c>
      <x:c r="C140" s="20" t="str">
        <x:v>Week 5</x:v>
      </x:c>
      <x:c r="D140" s="20" t="str">
        <x:v>PP Slides</x:v>
      </x:c>
      <x:c r="E140" s="20" t="str">
        <x:v>Complete Slide 3: problem/opportunity and project goal</x:v>
      </x:c>
      <x:c r="F140" s="20" t="str">
        <x:v>Slide 3 final</x:v>
      </x:c>
      <x:c r="G140" s="20" t="n">
        <x:v>0.5</x:v>
      </x:c>
      <x:c r="H140" s="20" t="str">
        <x:v>Critical</x:v>
      </x:c>
      <x:c r="I140" s="20" t="str"/>
      <x:c r="J140" s="20" t="str"/>
      <x:c r="K140" s="20" t="str">
        <x:v>Not Started</x:v>
      </x:c>
      <x:c r="L140" s="20" t="n">
        <x:f>IF(K140="Completed",100,IF(K140="In Progress",50,0))</x:f>
        <x:v>0</x:v>
      </x:c>
      <x:c r="M140" s="20"/>
      <x:c r="N140" s="20" t="str">
        <x:f>IF(OR(K140&lt;&gt;"Completed",M140=""),"",IF(M140&lt;4.5,"YES","NO"))</x:f>
      </x:c>
      <x:c r="O140" s="20" t="str">
        <x:f>IF(K140="Completed","Done",IF(B140&lt;TODAY(),"OVERDUE",IF(B140=TODAY(),"DUE TODAY","Upcoming")))</x:f>
        <x:v>Upcoming</x:v>
      </x:c>
      <x:c r="P140" s="21"/>
      <x:c r="Q140" s="20" t="str"/>
      <x:c r="R140" s="20" t="str"/>
    </x:row>
    <x:row r="141">
      <x:c r="A141" s="20" t="str">
        <x:v>T138</x:v>
      </x:c>
      <x:c r="B141" s="21" t="n">
        <x:v>46322</x:v>
      </x:c>
      <x:c r="C141" s="20" t="str">
        <x:v>Week 5</x:v>
      </x:c>
      <x:c r="D141" s="20" t="str">
        <x:v>PP Slides</x:v>
      </x:c>
      <x:c r="E141" s="20" t="str">
        <x:v>Complete Slide 4: evidence to research gap</x:v>
      </x:c>
      <x:c r="F141" s="20" t="str">
        <x:v>Slide 4 final</x:v>
      </x:c>
      <x:c r="G141" s="20" t="n">
        <x:v>0.5</x:v>
      </x:c>
      <x:c r="H141" s="20" t="str">
        <x:v>Critical</x:v>
      </x:c>
      <x:c r="I141" s="20" t="str"/>
      <x:c r="J141" s="20" t="str"/>
      <x:c r="K141" s="20" t="str">
        <x:v>Not Started</x:v>
      </x:c>
      <x:c r="L141" s="20" t="n">
        <x:f>IF(K141="Completed",100,IF(K141="In Progress",50,0))</x:f>
        <x:v>0</x:v>
      </x:c>
      <x:c r="M141" s="20"/>
      <x:c r="N141" s="20" t="str">
        <x:f>IF(OR(K141&lt;&gt;"Completed",M141=""),"",IF(M141&lt;4.5,"YES","NO"))</x:f>
      </x:c>
      <x:c r="O141" s="20" t="str">
        <x:f>IF(K141="Completed","Done",IF(B141&lt;TODAY(),"OVERDUE",IF(B141=TODAY(),"DUE TODAY","Upcoming")))</x:f>
        <x:v>Upcoming</x:v>
      </x:c>
      <x:c r="P141" s="21"/>
      <x:c r="Q141" s="20" t="str"/>
      <x:c r="R141" s="20" t="str"/>
    </x:row>
    <x:row r="142">
      <x:c r="A142" s="20" t="str">
        <x:v>T139</x:v>
      </x:c>
      <x:c r="B142" s="21" t="n">
        <x:v>46323</x:v>
      </x:c>
      <x:c r="C142" s="20" t="str">
        <x:v>Week 5</x:v>
      </x:c>
      <x:c r="D142" s="20" t="str">
        <x:v>PP Slides</x:v>
      </x:c>
      <x:c r="E142" s="20" t="str">
        <x:v>Complete Slide 5: critical literature landscape</x:v>
      </x:c>
      <x:c r="F142" s="20" t="str">
        <x:v>Slide 5 final</x:v>
      </x:c>
      <x:c r="G142" s="20" t="n">
        <x:v>0.5</x:v>
      </x:c>
      <x:c r="H142" s="20" t="str">
        <x:v>Critical</x:v>
      </x:c>
      <x:c r="I142" s="20" t="str"/>
      <x:c r="J142" s="20" t="str"/>
      <x:c r="K142" s="20" t="str">
        <x:v>Not Started</x:v>
      </x:c>
      <x:c r="L142" s="20" t="n">
        <x:f>IF(K142="Completed",100,IF(K142="In Progress",50,0))</x:f>
        <x:v>0</x:v>
      </x:c>
      <x:c r="M142" s="20"/>
      <x:c r="N142" s="20" t="str">
        <x:f>IF(OR(K142&lt;&gt;"Completed",M142=""),"",IF(M142&lt;4.5,"YES","NO"))</x:f>
      </x:c>
      <x:c r="O142" s="20" t="str">
        <x:f>IF(K142="Completed","Done",IF(B142&lt;TODAY(),"OVERDUE",IF(B142=TODAY(),"DUE TODAY","Upcoming")))</x:f>
        <x:v>Upcoming</x:v>
      </x:c>
      <x:c r="P142" s="21"/>
      <x:c r="Q142" s="20" t="str"/>
      <x:c r="R142" s="20" t="str"/>
    </x:row>
    <x:row r="143">
      <x:c r="A143" s="20" t="str">
        <x:v>T140</x:v>
      </x:c>
      <x:c r="B143" s="21" t="n">
        <x:v>46323</x:v>
      </x:c>
      <x:c r="C143" s="20" t="str">
        <x:v>Week 5</x:v>
      </x:c>
      <x:c r="D143" s="20" t="str">
        <x:v>PP Slides</x:v>
      </x:c>
      <x:c r="E143" s="20" t="str">
        <x:v>Complete Slide 6: research gap, novelty and contribution</x:v>
      </x:c>
      <x:c r="F143" s="20" t="str">
        <x:v>Slide 6 final</x:v>
      </x:c>
      <x:c r="G143" s="20" t="n">
        <x:v>0.5</x:v>
      </x:c>
      <x:c r="H143" s="20" t="str">
        <x:v>Critical</x:v>
      </x:c>
      <x:c r="I143" s="20" t="str"/>
      <x:c r="J143" s="20" t="str"/>
      <x:c r="K143" s="20" t="str">
        <x:v>Not Started</x:v>
      </x:c>
      <x:c r="L143" s="20" t="n">
        <x:f>IF(K143="Completed",100,IF(K143="In Progress",50,0))</x:f>
        <x:v>0</x:v>
      </x:c>
      <x:c r="M143" s="20"/>
      <x:c r="N143" s="20" t="str">
        <x:f>IF(OR(K143&lt;&gt;"Completed",M143=""),"",IF(M143&lt;4.5,"YES","NO"))</x:f>
      </x:c>
      <x:c r="O143" s="20" t="str">
        <x:f>IF(K143="Completed","Done",IF(B143&lt;TODAY(),"OVERDUE",IF(B143=TODAY(),"DUE TODAY","Upcoming")))</x:f>
        <x:v>Upcoming</x:v>
      </x:c>
      <x:c r="P143" s="21"/>
      <x:c r="Q143" s="20" t="str"/>
      <x:c r="R143" s="20" t="str"/>
    </x:row>
    <x:row r="144">
      <x:c r="A144" s="20" t="str">
        <x:v>T141</x:v>
      </x:c>
      <x:c r="B144" s="21" t="n">
        <x:v>46323</x:v>
      </x:c>
      <x:c r="C144" s="20" t="str">
        <x:v>Week 5</x:v>
      </x:c>
      <x:c r="D144" s="20" t="str">
        <x:v>PP Slides</x:v>
      </x:c>
      <x:c r="E144" s="20" t="str">
        <x:v>Complete Slide 7: RQs, objectives and success criteria</x:v>
      </x:c>
      <x:c r="F144" s="20" t="str">
        <x:v>Slide 7 final</x:v>
      </x:c>
      <x:c r="G144" s="20" t="n">
        <x:v>0.5</x:v>
      </x:c>
      <x:c r="H144" s="20" t="str">
        <x:v>Critical</x:v>
      </x:c>
      <x:c r="I144" s="20" t="str"/>
      <x:c r="J144" s="20" t="str"/>
      <x:c r="K144" s="20" t="str">
        <x:v>Not Started</x:v>
      </x:c>
      <x:c r="L144" s="20" t="n">
        <x:f>IF(K144="Completed",100,IF(K144="In Progress",50,0))</x:f>
        <x:v>0</x:v>
      </x:c>
      <x:c r="M144" s="20"/>
      <x:c r="N144" s="20" t="str">
        <x:f>IF(OR(K144&lt;&gt;"Completed",M144=""),"",IF(M144&lt;4.5,"YES","NO"))</x:f>
      </x:c>
      <x:c r="O144" s="20" t="str">
        <x:f>IF(K144="Completed","Done",IF(B144&lt;TODAY(),"OVERDUE",IF(B144=TODAY(),"DUE TODAY","Upcoming")))</x:f>
        <x:v>Upcoming</x:v>
      </x:c>
      <x:c r="P144" s="21"/>
      <x:c r="Q144" s="20" t="str"/>
      <x:c r="R144" s="20" t="str"/>
    </x:row>
    <x:row r="145">
      <x:c r="A145" s="20" t="str">
        <x:v>T142</x:v>
      </x:c>
      <x:c r="B145" s="21" t="n">
        <x:v>46323</x:v>
      </x:c>
      <x:c r="C145" s="20" t="str">
        <x:v>Week 5</x:v>
      </x:c>
      <x:c r="D145" s="20" t="str">
        <x:v>PP Slides</x:v>
      </x:c>
      <x:c r="E145" s="20" t="str">
        <x:v>Complete Slide 8: existing solution and baseline comparison</x:v>
      </x:c>
      <x:c r="F145" s="20" t="str">
        <x:v>Slide 8 final</x:v>
      </x:c>
      <x:c r="G145" s="20" t="n">
        <x:v>0.5</x:v>
      </x:c>
      <x:c r="H145" s="20" t="str">
        <x:v>Critical</x:v>
      </x:c>
      <x:c r="I145" s="20" t="str"/>
      <x:c r="J145" s="20" t="str"/>
      <x:c r="K145" s="20" t="str">
        <x:v>Not Started</x:v>
      </x:c>
      <x:c r="L145" s="20" t="n">
        <x:f>IF(K145="Completed",100,IF(K145="In Progress",50,0))</x:f>
        <x:v>0</x:v>
      </x:c>
      <x:c r="M145" s="20"/>
      <x:c r="N145" s="20" t="str">
        <x:f>IF(OR(K145&lt;&gt;"Completed",M145=""),"",IF(M145&lt;4.5,"YES","NO"))</x:f>
      </x:c>
      <x:c r="O145" s="20" t="str">
        <x:f>IF(K145="Completed","Done",IF(B145&lt;TODAY(),"OVERDUE",IF(B145=TODAY(),"DUE TODAY","Upcoming")))</x:f>
        <x:v>Upcoming</x:v>
      </x:c>
      <x:c r="P145" s="21"/>
      <x:c r="Q145" s="20" t="str"/>
      <x:c r="R145" s="20" t="str"/>
    </x:row>
    <x:row r="146">
      <x:c r="A146" s="20" t="str">
        <x:v>T143</x:v>
      </x:c>
      <x:c r="B146" s="21" t="n">
        <x:v>46324</x:v>
      </x:c>
      <x:c r="C146" s="20" t="str">
        <x:v>Week 5</x:v>
      </x:c>
      <x:c r="D146" s="20" t="str">
        <x:v>PP Slides</x:v>
      </x:c>
      <x:c r="E146" s="20" t="str">
        <x:v>Complete Slide 9: stakeholders, users and context</x:v>
      </x:c>
      <x:c r="F146" s="20" t="str">
        <x:v>Slide 9 final</x:v>
      </x:c>
      <x:c r="G146" s="20" t="n">
        <x:v>0.5</x:v>
      </x:c>
      <x:c r="H146" s="20" t="str">
        <x:v>Critical</x:v>
      </x:c>
      <x:c r="I146" s="20" t="str"/>
      <x:c r="J146" s="20" t="str"/>
      <x:c r="K146" s="20" t="str">
        <x:v>Not Started</x:v>
      </x:c>
      <x:c r="L146" s="20" t="n">
        <x:f>IF(K146="Completed",100,IF(K146="In Progress",50,0))</x:f>
        <x:v>0</x:v>
      </x:c>
      <x:c r="M146" s="20"/>
      <x:c r="N146" s="20" t="str">
        <x:f>IF(OR(K146&lt;&gt;"Completed",M146=""),"",IF(M146&lt;4.5,"YES","NO"))</x:f>
      </x:c>
      <x:c r="O146" s="20" t="str">
        <x:f>IF(K146="Completed","Done",IF(B146&lt;TODAY(),"OVERDUE",IF(B146=TODAY(),"DUE TODAY","Upcoming")))</x:f>
        <x:v>Upcoming</x:v>
      </x:c>
      <x:c r="P146" s="21"/>
      <x:c r="Q146" s="20" t="str"/>
      <x:c r="R146" s="20" t="str"/>
    </x:row>
    <x:row r="147">
      <x:c r="A147" s="20" t="str">
        <x:v>T144</x:v>
      </x:c>
      <x:c r="B147" s="21" t="n">
        <x:v>46324</x:v>
      </x:c>
      <x:c r="C147" s="20" t="str">
        <x:v>Week 5</x:v>
      </x:c>
      <x:c r="D147" s="20" t="str">
        <x:v>PP Slides</x:v>
      </x:c>
      <x:c r="E147" s="20" t="str">
        <x:v>Complete Slide 10: requirements engineering</x:v>
      </x:c>
      <x:c r="F147" s="20" t="str">
        <x:v>Slide 10 final</x:v>
      </x:c>
      <x:c r="G147" s="20" t="n">
        <x:v>0.5</x:v>
      </x:c>
      <x:c r="H147" s="20" t="str">
        <x:v>Critical</x:v>
      </x:c>
      <x:c r="I147" s="20" t="str"/>
      <x:c r="J147" s="20" t="str"/>
      <x:c r="K147" s="20" t="str">
        <x:v>Not Started</x:v>
      </x:c>
      <x:c r="L147" s="20" t="n">
        <x:f>IF(K147="Completed",100,IF(K147="In Progress",50,0))</x:f>
        <x:v>0</x:v>
      </x:c>
      <x:c r="M147" s="20"/>
      <x:c r="N147" s="20" t="str">
        <x:f>IF(OR(K147&lt;&gt;"Completed",M147=""),"",IF(M147&lt;4.5,"YES","NO"))</x:f>
      </x:c>
      <x:c r="O147" s="20" t="str">
        <x:f>IF(K147="Completed","Done",IF(B147&lt;TODAY(),"OVERDUE",IF(B147=TODAY(),"DUE TODAY","Upcoming")))</x:f>
        <x:v>Upcoming</x:v>
      </x:c>
      <x:c r="P147" s="21"/>
      <x:c r="Q147" s="20" t="str"/>
      <x:c r="R147" s="20" t="str"/>
    </x:row>
    <x:row r="148">
      <x:c r="A148" s="20" t="str">
        <x:v>T145</x:v>
      </x:c>
      <x:c r="B148" s="21" t="n">
        <x:v>46324</x:v>
      </x:c>
      <x:c r="C148" s="20" t="str">
        <x:v>Week 5</x:v>
      </x:c>
      <x:c r="D148" s="20" t="str">
        <x:v>PP Slides</x:v>
      </x:c>
      <x:c r="E148" s="20" t="str">
        <x:v>Complete Slide 11: indicative architecture</x:v>
      </x:c>
      <x:c r="F148" s="20" t="str">
        <x:v>Slide 11 final</x:v>
      </x:c>
      <x:c r="G148" s="20" t="n">
        <x:v>0.5</x:v>
      </x:c>
      <x:c r="H148" s="20" t="str">
        <x:v>Critical</x:v>
      </x:c>
      <x:c r="I148" s="20" t="str"/>
      <x:c r="J148" s="20" t="str"/>
      <x:c r="K148" s="20" t="str">
        <x:v>Not Started</x:v>
      </x:c>
      <x:c r="L148" s="20" t="n">
        <x:f>IF(K148="Completed",100,IF(K148="In Progress",50,0))</x:f>
        <x:v>0</x:v>
      </x:c>
      <x:c r="M148" s="20"/>
      <x:c r="N148" s="20" t="str">
        <x:f>IF(OR(K148&lt;&gt;"Completed",M148=""),"",IF(M148&lt;4.5,"YES","NO"))</x:f>
      </x:c>
      <x:c r="O148" s="20" t="str">
        <x:f>IF(K148="Completed","Done",IF(B148&lt;TODAY(),"OVERDUE",IF(B148=TODAY(),"DUE TODAY","Upcoming")))</x:f>
        <x:v>Upcoming</x:v>
      </x:c>
      <x:c r="P148" s="21"/>
      <x:c r="Q148" s="20" t="str"/>
      <x:c r="R148" s="20" t="str"/>
    </x:row>
    <x:row r="149">
      <x:c r="A149" s="20" t="str">
        <x:v>T146</x:v>
      </x:c>
      <x:c r="B149" s="21" t="n">
        <x:v>46324</x:v>
      </x:c>
      <x:c r="C149" s="20" t="str">
        <x:v>Week 5</x:v>
      </x:c>
      <x:c r="D149" s="20" t="str">
        <x:v>PP Slides</x:v>
      </x:c>
      <x:c r="E149" s="20" t="str">
        <x:v>Complete Slide 12: data/dataset/evidence strategy</x:v>
      </x:c>
      <x:c r="F149" s="20" t="str">
        <x:v>Slide 12 final</x:v>
      </x:c>
      <x:c r="G149" s="20" t="n">
        <x:v>0.5</x:v>
      </x:c>
      <x:c r="H149" s="20" t="str">
        <x:v>Critical</x:v>
      </x:c>
      <x:c r="I149" s="20" t="str"/>
      <x:c r="J149" s="20" t="str"/>
      <x:c r="K149" s="20" t="str">
        <x:v>Not Started</x:v>
      </x:c>
      <x:c r="L149" s="20" t="n">
        <x:f>IF(K149="Completed",100,IF(K149="In Progress",50,0))</x:f>
        <x:v>0</x:v>
      </x:c>
      <x:c r="M149" s="20"/>
      <x:c r="N149" s="20" t="str">
        <x:f>IF(OR(K149&lt;&gt;"Completed",M149=""),"",IF(M149&lt;4.5,"YES","NO"))</x:f>
      </x:c>
      <x:c r="O149" s="20" t="str">
        <x:f>IF(K149="Completed","Done",IF(B149&lt;TODAY(),"OVERDUE",IF(B149=TODAY(),"DUE TODAY","Upcoming")))</x:f>
        <x:v>Upcoming</x:v>
      </x:c>
      <x:c r="P149" s="21"/>
      <x:c r="Q149" s="20" t="str"/>
      <x:c r="R149" s="20" t="str"/>
    </x:row>
    <x:row r="150">
      <x:c r="A150" s="20" t="str">
        <x:v>T147</x:v>
      </x:c>
      <x:c r="B150" s="21" t="n">
        <x:v>46325</x:v>
      </x:c>
      <x:c r="C150" s="20" t="str">
        <x:v>Week 5</x:v>
      </x:c>
      <x:c r="D150" s="20" t="str">
        <x:v>PP Slides</x:v>
      </x:c>
      <x:c r="E150" s="20" t="str">
        <x:v>Complete Slide 13: research and development methodology</x:v>
      </x:c>
      <x:c r="F150" s="20" t="str">
        <x:v>Slide 13 final</x:v>
      </x:c>
      <x:c r="G150" s="20" t="n">
        <x:v>0.5</x:v>
      </x:c>
      <x:c r="H150" s="20" t="str">
        <x:v>Critical</x:v>
      </x:c>
      <x:c r="I150" s="20" t="str"/>
      <x:c r="J150" s="20" t="str"/>
      <x:c r="K150" s="20" t="str">
        <x:v>Not Started</x:v>
      </x:c>
      <x:c r="L150" s="20" t="n">
        <x:f>IF(K150="Completed",100,IF(K150="In Progress",50,0))</x:f>
        <x:v>0</x:v>
      </x:c>
      <x:c r="M150" s="20"/>
      <x:c r="N150" s="20" t="str">
        <x:f>IF(OR(K150&lt;&gt;"Completed",M150=""),"",IF(M150&lt;4.5,"YES","NO"))</x:f>
      </x:c>
      <x:c r="O150" s="20" t="str">
        <x:f>IF(K150="Completed","Done",IF(B150&lt;TODAY(),"OVERDUE",IF(B150=TODAY(),"DUE TODAY","Upcoming")))</x:f>
        <x:v>Upcoming</x:v>
      </x:c>
      <x:c r="P150" s="21"/>
      <x:c r="Q150" s="20" t="str"/>
      <x:c r="R150" s="20" t="str"/>
    </x:row>
    <x:row r="151">
      <x:c r="A151" s="20" t="str">
        <x:v>T148</x:v>
      </x:c>
      <x:c r="B151" s="21" t="n">
        <x:v>46325</x:v>
      </x:c>
      <x:c r="C151" s="20" t="str">
        <x:v>Week 5</x:v>
      </x:c>
      <x:c r="D151" s="20" t="str">
        <x:v>PP Slides</x:v>
      </x:c>
      <x:c r="E151" s="20" t="str">
        <x:v>Complete Slide 14: experimental/evaluation design</x:v>
      </x:c>
      <x:c r="F151" s="20" t="str">
        <x:v>Slide 14 final</x:v>
      </x:c>
      <x:c r="G151" s="20" t="n">
        <x:v>0.5</x:v>
      </x:c>
      <x:c r="H151" s="20" t="str">
        <x:v>Critical</x:v>
      </x:c>
      <x:c r="I151" s="20" t="str"/>
      <x:c r="J151" s="20" t="str"/>
      <x:c r="K151" s="20" t="str">
        <x:v>Not Started</x:v>
      </x:c>
      <x:c r="L151" s="20" t="n">
        <x:f>IF(K151="Completed",100,IF(K151="In Progress",50,0))</x:f>
        <x:v>0</x:v>
      </x:c>
      <x:c r="M151" s="20"/>
      <x:c r="N151" s="20" t="str">
        <x:f>IF(OR(K151&lt;&gt;"Completed",M151=""),"",IF(M151&lt;4.5,"YES","NO"))</x:f>
      </x:c>
      <x:c r="O151" s="20" t="str">
        <x:f>IF(K151="Completed","Done",IF(B151&lt;TODAY(),"OVERDUE",IF(B151=TODAY(),"DUE TODAY","Upcoming")))</x:f>
        <x:v>Upcoming</x:v>
      </x:c>
      <x:c r="P151" s="21"/>
      <x:c r="Q151" s="20" t="str"/>
      <x:c r="R151" s="20" t="str"/>
    </x:row>
    <x:row r="152">
      <x:c r="A152" s="20" t="str">
        <x:v>T149</x:v>
      </x:c>
      <x:c r="B152" s="21" t="n">
        <x:v>46325</x:v>
      </x:c>
      <x:c r="C152" s="20" t="str">
        <x:v>Week 5</x:v>
      </x:c>
      <x:c r="D152" s="20" t="str">
        <x:v>PP Slides</x:v>
      </x:c>
      <x:c r="E152" s="20" t="str">
        <x:v>Complete Slide 15: testing and quality assurance</x:v>
      </x:c>
      <x:c r="F152" s="20" t="str">
        <x:v>Slide 15 final</x:v>
      </x:c>
      <x:c r="G152" s="20" t="n">
        <x:v>0.5</x:v>
      </x:c>
      <x:c r="H152" s="20" t="str">
        <x:v>Critical</x:v>
      </x:c>
      <x:c r="I152" s="20" t="str"/>
      <x:c r="J152" s="20" t="str"/>
      <x:c r="K152" s="20" t="str">
        <x:v>Not Started</x:v>
      </x:c>
      <x:c r="L152" s="20" t="n">
        <x:f>IF(K152="Completed",100,IF(K152="In Progress",50,0))</x:f>
        <x:v>0</x:v>
      </x:c>
      <x:c r="M152" s="20"/>
      <x:c r="N152" s="20" t="str">
        <x:f>IF(OR(K152&lt;&gt;"Completed",M152=""),"",IF(M152&lt;4.5,"YES","NO"))</x:f>
      </x:c>
      <x:c r="O152" s="20" t="str">
        <x:f>IF(K152="Completed","Done",IF(B152&lt;TODAY(),"OVERDUE",IF(B152=TODAY(),"DUE TODAY","Upcoming")))</x:f>
        <x:v>Upcoming</x:v>
      </x:c>
      <x:c r="P152" s="21"/>
      <x:c r="Q152" s="20" t="str"/>
      <x:c r="R152" s="20" t="str"/>
    </x:row>
    <x:row r="153">
      <x:c r="A153" s="20" t="str">
        <x:v>T150</x:v>
      </x:c>
      <x:c r="B153" s="21" t="n">
        <x:v>46325</x:v>
      </x:c>
      <x:c r="C153" s="20" t="str">
        <x:v>Week 5</x:v>
      </x:c>
      <x:c r="D153" s="20" t="str">
        <x:v>PP Slides</x:v>
      </x:c>
      <x:c r="E153" s="20" t="str">
        <x:v>Complete Slide 16: iteration, feedback and AI verification</x:v>
      </x:c>
      <x:c r="F153" s="20" t="str">
        <x:v>Slide 16 final</x:v>
      </x:c>
      <x:c r="G153" s="20" t="n">
        <x:v>0.5</x:v>
      </x:c>
      <x:c r="H153" s="20" t="str">
        <x:v>Critical</x:v>
      </x:c>
      <x:c r="I153" s="20" t="str"/>
      <x:c r="J153" s="20" t="str"/>
      <x:c r="K153" s="20" t="str">
        <x:v>Not Started</x:v>
      </x:c>
      <x:c r="L153" s="20" t="n">
        <x:f>IF(K153="Completed",100,IF(K153="In Progress",50,0))</x:f>
        <x:v>0</x:v>
      </x:c>
      <x:c r="M153" s="20"/>
      <x:c r="N153" s="20" t="str">
        <x:f>IF(OR(K153&lt;&gt;"Completed",M153=""),"",IF(M153&lt;4.5,"YES","NO"))</x:f>
      </x:c>
      <x:c r="O153" s="20" t="str">
        <x:f>IF(K153="Completed","Done",IF(B153&lt;TODAY(),"OVERDUE",IF(B153=TODAY(),"DUE TODAY","Upcoming")))</x:f>
        <x:v>Upcoming</x:v>
      </x:c>
      <x:c r="P153" s="21"/>
      <x:c r="Q153" s="20" t="str"/>
      <x:c r="R153" s="20" t="str"/>
    </x:row>
    <x:row r="154">
      <x:c r="A154" s="20" t="str">
        <x:v>T151</x:v>
      </x:c>
      <x:c r="B154" s="21" t="n">
        <x:v>46326</x:v>
      </x:c>
      <x:c r="C154" s="20" t="str">
        <x:v>Week 5</x:v>
      </x:c>
      <x:c r="D154" s="20" t="str">
        <x:v>PP Slides</x:v>
      </x:c>
      <x:c r="E154" s="20" t="str">
        <x:v>Complete Slide 17: project plan, milestones and dependencies</x:v>
      </x:c>
      <x:c r="F154" s="20" t="str">
        <x:v>Slide 17 final</x:v>
      </x:c>
      <x:c r="G154" s="20" t="n">
        <x:v>0.5</x:v>
      </x:c>
      <x:c r="H154" s="20" t="str">
        <x:v>Critical</x:v>
      </x:c>
      <x:c r="I154" s="20" t="str"/>
      <x:c r="J154" s="20" t="str"/>
      <x:c r="K154" s="20" t="str">
        <x:v>Not Started</x:v>
      </x:c>
      <x:c r="L154" s="20" t="n">
        <x:f>IF(K154="Completed",100,IF(K154="In Progress",50,0))</x:f>
        <x:v>0</x:v>
      </x:c>
      <x:c r="M154" s="20"/>
      <x:c r="N154" s="20" t="str">
        <x:f>IF(OR(K154&lt;&gt;"Completed",M154=""),"",IF(M154&lt;4.5,"YES","NO"))</x:f>
      </x:c>
      <x:c r="O154" s="20" t="str">
        <x:f>IF(K154="Completed","Done",IF(B154&lt;TODAY(),"OVERDUE",IF(B154=TODAY(),"DUE TODAY","Upcoming")))</x:f>
        <x:v>Upcoming</x:v>
      </x:c>
      <x:c r="P154" s="21"/>
      <x:c r="Q154" s="20" t="str"/>
      <x:c r="R154" s="20" t="str"/>
    </x:row>
    <x:row r="155">
      <x:c r="A155" s="20" t="str">
        <x:v>T152</x:v>
      </x:c>
      <x:c r="B155" s="21" t="n">
        <x:v>46326</x:v>
      </x:c>
      <x:c r="C155" s="20" t="str">
        <x:v>Week 5</x:v>
      </x:c>
      <x:c r="D155" s="20" t="str">
        <x:v>PP Slides</x:v>
      </x:c>
      <x:c r="E155" s="20" t="str">
        <x:v>Complete Slide 18: risk, mitigation and contingency</x:v>
      </x:c>
      <x:c r="F155" s="20" t="str">
        <x:v>Slide 18 final</x:v>
      </x:c>
      <x:c r="G155" s="20" t="n">
        <x:v>0.5</x:v>
      </x:c>
      <x:c r="H155" s="20" t="str">
        <x:v>Critical</x:v>
      </x:c>
      <x:c r="I155" s="20" t="str"/>
      <x:c r="J155" s="20" t="str"/>
      <x:c r="K155" s="20" t="str">
        <x:v>Not Started</x:v>
      </x:c>
      <x:c r="L155" s="20" t="n">
        <x:f>IF(K155="Completed",100,IF(K155="In Progress",50,0))</x:f>
        <x:v>0</x:v>
      </x:c>
      <x:c r="M155" s="20"/>
      <x:c r="N155" s="20" t="str">
        <x:f>IF(OR(K155&lt;&gt;"Completed",M155=""),"",IF(M155&lt;4.5,"YES","NO"))</x:f>
      </x:c>
      <x:c r="O155" s="20" t="str">
        <x:f>IF(K155="Completed","Done",IF(B155&lt;TODAY(),"OVERDUE",IF(B155=TODAY(),"DUE TODAY","Upcoming")))</x:f>
        <x:v>Upcoming</x:v>
      </x:c>
      <x:c r="P155" s="21"/>
      <x:c r="Q155" s="20" t="str"/>
      <x:c r="R155" s="20" t="str"/>
    </x:row>
    <x:row r="156">
      <x:c r="A156" s="20" t="str">
        <x:v>T153</x:v>
      </x:c>
      <x:c r="B156" s="21" t="n">
        <x:v>46326</x:v>
      </x:c>
      <x:c r="C156" s="20" t="str">
        <x:v>Week 5</x:v>
      </x:c>
      <x:c r="D156" s="20" t="str">
        <x:v>PP Slides</x:v>
      </x:c>
      <x:c r="E156" s="20" t="str">
        <x:v>Complete Slide 19: responsible research/project considerations</x:v>
      </x:c>
      <x:c r="F156" s="20" t="str">
        <x:v>Slide 19 final</x:v>
      </x:c>
      <x:c r="G156" s="20" t="n">
        <x:v>0.5</x:v>
      </x:c>
      <x:c r="H156" s="20" t="str">
        <x:v>Critical</x:v>
      </x:c>
      <x:c r="I156" s="20" t="str"/>
      <x:c r="J156" s="20" t="str"/>
      <x:c r="K156" s="20" t="str">
        <x:v>Not Started</x:v>
      </x:c>
      <x:c r="L156" s="20" t="n">
        <x:f>IF(K156="Completed",100,IF(K156="In Progress",50,0))</x:f>
        <x:v>0</x:v>
      </x:c>
      <x:c r="M156" s="20"/>
      <x:c r="N156" s="20" t="str">
        <x:f>IF(OR(K156&lt;&gt;"Completed",M156=""),"",IF(M156&lt;4.5,"YES","NO"))</x:f>
      </x:c>
      <x:c r="O156" s="20" t="str">
        <x:f>IF(K156="Completed","Done",IF(B156&lt;TODAY(),"OVERDUE",IF(B156=TODAY(),"DUE TODAY","Upcoming")))</x:f>
        <x:v>Upcoming</x:v>
      </x:c>
      <x:c r="P156" s="21"/>
      <x:c r="Q156" s="20" t="str"/>
      <x:c r="R156" s="20" t="str"/>
    </x:row>
    <x:row r="157">
      <x:c r="A157" s="20" t="str">
        <x:v>T154</x:v>
      </x:c>
      <x:c r="B157" s="21" t="n">
        <x:v>46326</x:v>
      </x:c>
      <x:c r="C157" s="20" t="str">
        <x:v>Week 5</x:v>
      </x:c>
      <x:c r="D157" s="20" t="str">
        <x:v>PP Slides</x:v>
      </x:c>
      <x:c r="E157" s="20" t="str">
        <x:v>Complete Slide 20: scope, generalisation, limitations and closing defence</x:v>
      </x:c>
      <x:c r="F157" s="20" t="str">
        <x:v>Slide 20 final</x:v>
      </x:c>
      <x:c r="G157" s="20" t="n">
        <x:v>0.5</x:v>
      </x:c>
      <x:c r="H157" s="20" t="str">
        <x:v>Critical</x:v>
      </x:c>
      <x:c r="I157" s="20" t="str"/>
      <x:c r="J157" s="20" t="str"/>
      <x:c r="K157" s="20" t="str">
        <x:v>Not Started</x:v>
      </x:c>
      <x:c r="L157" s="20" t="n">
        <x:f>IF(K157="Completed",100,IF(K157="In Progress",50,0))</x:f>
        <x:v>0</x:v>
      </x:c>
      <x:c r="M157" s="20"/>
      <x:c r="N157" s="20" t="str">
        <x:f>IF(OR(K157&lt;&gt;"Completed",M157=""),"",IF(M157&lt;4.5,"YES","NO"))</x:f>
      </x:c>
      <x:c r="O157" s="20" t="str">
        <x:f>IF(K157="Completed","Done",IF(B157&lt;TODAY(),"OVERDUE",IF(B157=TODAY(),"DUE TODAY","Upcoming")))</x:f>
        <x:v>Upcoming</x:v>
      </x:c>
      <x:c r="P157" s="21"/>
      <x:c r="Q157" s="20" t="str"/>
      <x:c r="R157" s="20" t="str"/>
    </x:row>
    <x:row r="158">
      <x:c r="A158" s="20" t="str">
        <x:v>T155</x:v>
      </x:c>
      <x:c r="B158" s="21" t="n">
        <x:v>46326</x:v>
      </x:c>
      <x:c r="C158" s="20" t="str">
        <x:v>Week 5</x:v>
      </x:c>
      <x:c r="D158" s="20" t="str">
        <x:v>PP Slides</x:v>
      </x:c>
      <x:c r="E158" s="20" t="str">
        <x:v>Complete Slide 21: academic practice and references</x:v>
      </x:c>
      <x:c r="F158" s="20" t="str">
        <x:v>Slide 21 final</x:v>
      </x:c>
      <x:c r="G158" s="20" t="n">
        <x:v>0.5</x:v>
      </x:c>
      <x:c r="H158" s="20" t="str">
        <x:v>Critical</x:v>
      </x:c>
      <x:c r="I158" s="20" t="str"/>
      <x:c r="J158" s="20" t="str"/>
      <x:c r="K158" s="20" t="str">
        <x:v>Not Started</x:v>
      </x:c>
      <x:c r="L158" s="20" t="n">
        <x:f>IF(K158="Completed",100,IF(K158="In Progress",50,0))</x:f>
        <x:v>0</x:v>
      </x:c>
      <x:c r="M158" s="20"/>
      <x:c r="N158" s="20" t="str">
        <x:f>IF(OR(K158&lt;&gt;"Completed",M158=""),"",IF(M158&lt;4.5,"YES","NO"))</x:f>
      </x:c>
      <x:c r="O158" s="20" t="str">
        <x:f>IF(K158="Completed","Done",IF(B158&lt;TODAY(),"OVERDUE",IF(B158=TODAY(),"DUE TODAY","Upcoming")))</x:f>
        <x:v>Upcoming</x:v>
      </x:c>
      <x:c r="P158" s="21"/>
      <x:c r="Q158" s="20" t="str"/>
      <x:c r="R158" s="20" t="str"/>
    </x:row>
    <x:row r="159">
      <x:c r="A159" s="20" t="str">
        <x:v>T156</x:v>
      </x:c>
      <x:c r="B159" s="21" t="n">
        <x:v>46326</x:v>
      </x:c>
      <x:c r="C159" s="20" t="str">
        <x:v>Week 5</x:v>
      </x:c>
      <x:c r="D159" s="20" t="str">
        <x:v>PP Slides</x:v>
      </x:c>
      <x:c r="E159" s="20" t="str">
        <x:v>Create backup slide for the detailed literature/research-gap matrix</x:v>
      </x:c>
      <x:c r="F159" s="20" t="str">
        <x:v>Backup: literature/gap</x:v>
      </x:c>
      <x:c r="G159" s="20" t="n">
        <x:v>0.5</x:v>
      </x:c>
      <x:c r="H159" s="20" t="str">
        <x:v>Critical</x:v>
      </x:c>
      <x:c r="I159" s="20" t="str"/>
      <x:c r="J159" s="20" t="str"/>
      <x:c r="K159" s="20" t="str">
        <x:v>Not Started</x:v>
      </x:c>
      <x:c r="L159" s="20" t="n">
        <x:f>IF(K159="Completed",100,IF(K159="In Progress",50,0))</x:f>
        <x:v>0</x:v>
      </x:c>
      <x:c r="M159" s="20"/>
      <x:c r="N159" s="20" t="str">
        <x:f>IF(OR(K159&lt;&gt;"Completed",M159=""),"",IF(M159&lt;4.5,"YES","NO"))</x:f>
      </x:c>
      <x:c r="O159" s="20" t="str">
        <x:f>IF(K159="Completed","Done",IF(B159&lt;TODAY(),"OVERDUE",IF(B159=TODAY(),"DUE TODAY","Upcoming")))</x:f>
        <x:v>Upcoming</x:v>
      </x:c>
      <x:c r="P159" s="21"/>
      <x:c r="Q159" s="20" t="str"/>
      <x:c r="R159" s="20" t="str"/>
    </x:row>
    <x:row r="160">
      <x:c r="A160" s="20" t="str">
        <x:v>T157</x:v>
      </x:c>
      <x:c r="B160" s="21" t="n">
        <x:v>46326</x:v>
      </x:c>
      <x:c r="C160" s="20" t="str">
        <x:v>Week 5</x:v>
      </x:c>
      <x:c r="D160" s="20" t="str">
        <x:v>PP Slides</x:v>
      </x:c>
      <x:c r="E160" s="20" t="str">
        <x:v>Create backup slide for the requirements traceability matrix</x:v>
      </x:c>
      <x:c r="F160" s="20" t="str">
        <x:v>Backup: requirements traceability</x:v>
      </x:c>
      <x:c r="G160" s="20" t="n">
        <x:v>0.5</x:v>
      </x:c>
      <x:c r="H160" s="20" t="str">
        <x:v>Critical</x:v>
      </x:c>
      <x:c r="I160" s="20" t="str"/>
      <x:c r="J160" s="20" t="str"/>
      <x:c r="K160" s="20" t="str">
        <x:v>Not Started</x:v>
      </x:c>
      <x:c r="L160" s="20" t="n">
        <x:f>IF(K160="Completed",100,IF(K160="In Progress",50,0))</x:f>
        <x:v>0</x:v>
      </x:c>
      <x:c r="M160" s="20"/>
      <x:c r="N160" s="20" t="str">
        <x:f>IF(OR(K160&lt;&gt;"Completed",M160=""),"",IF(M160&lt;4.5,"YES","NO"))</x:f>
      </x:c>
      <x:c r="O160" s="20" t="str">
        <x:f>IF(K160="Completed","Done",IF(B160&lt;TODAY(),"OVERDUE",IF(B160=TODAY(),"DUE TODAY","Upcoming")))</x:f>
        <x:v>Upcoming</x:v>
      </x:c>
      <x:c r="P160" s="21"/>
      <x:c r="Q160" s="20" t="str"/>
      <x:c r="R160" s="20" t="str"/>
    </x:row>
    <x:row r="161">
      <x:c r="A161" s="20" t="str">
        <x:v>T158</x:v>
      </x:c>
      <x:c r="B161" s="21" t="n">
        <x:v>46326</x:v>
      </x:c>
      <x:c r="C161" s="20" t="str">
        <x:v>Week 5</x:v>
      </x:c>
      <x:c r="D161" s="20" t="str">
        <x:v>PP Slides</x:v>
      </x:c>
      <x:c r="E161" s="20" t="str">
        <x:v>Create backup slide for dataset/preprocessing details</x:v>
      </x:c>
      <x:c r="F161" s="20" t="str">
        <x:v>Backup: dataset</x:v>
      </x:c>
      <x:c r="G161" s="20" t="n">
        <x:v>0.5</x:v>
      </x:c>
      <x:c r="H161" s="20" t="str">
        <x:v>Critical</x:v>
      </x:c>
      <x:c r="I161" s="20" t="str"/>
      <x:c r="J161" s="20" t="str"/>
      <x:c r="K161" s="20" t="str">
        <x:v>Not Started</x:v>
      </x:c>
      <x:c r="L161" s="20" t="n">
        <x:f>IF(K161="Completed",100,IF(K161="In Progress",50,0))</x:f>
        <x:v>0</x:v>
      </x:c>
      <x:c r="M161" s="20"/>
      <x:c r="N161" s="20" t="str">
        <x:f>IF(OR(K161&lt;&gt;"Completed",M161=""),"",IF(M161&lt;4.5,"YES","NO"))</x:f>
      </x:c>
      <x:c r="O161" s="20" t="str">
        <x:f>IF(K161="Completed","Done",IF(B161&lt;TODAY(),"OVERDUE",IF(B161=TODAY(),"DUE TODAY","Upcoming")))</x:f>
        <x:v>Upcoming</x:v>
      </x:c>
      <x:c r="P161" s="21"/>
      <x:c r="Q161" s="20" t="str"/>
      <x:c r="R161" s="20" t="str"/>
    </x:row>
    <x:row r="162">
      <x:c r="A162" s="20" t="str">
        <x:v>T159</x:v>
      </x:c>
      <x:c r="B162" s="21" t="n">
        <x:v>46327</x:v>
      </x:c>
      <x:c r="C162" s="20" t="str">
        <x:v>Week 5</x:v>
      </x:c>
      <x:c r="D162" s="20" t="str">
        <x:v>PP Finalisation</x:v>
      </x:c>
      <x:c r="E162" s="20" t="str">
        <x:v>Create backup slide for baselines and evaluation metrics</x:v>
      </x:c>
      <x:c r="F162" s="20" t="str">
        <x:v>Backup: baselines/metrics</x:v>
      </x:c>
      <x:c r="G162" s="20" t="n">
        <x:v>1</x:v>
      </x:c>
      <x:c r="H162" s="20" t="str">
        <x:v>Critical</x:v>
      </x:c>
      <x:c r="I162" s="20" t="str"/>
      <x:c r="J162" s="20" t="str"/>
      <x:c r="K162" s="20" t="str">
        <x:v>Not Started</x:v>
      </x:c>
      <x:c r="L162" s="20" t="n">
        <x:f>IF(K162="Completed",100,IF(K162="In Progress",50,0))</x:f>
        <x:v>0</x:v>
      </x:c>
      <x:c r="M162" s="20"/>
      <x:c r="N162" s="20" t="str">
        <x:f>IF(OR(K162&lt;&gt;"Completed",M162=""),"",IF(M162&lt;4.5,"YES","NO"))</x:f>
      </x:c>
      <x:c r="O162" s="20" t="str">
        <x:f>IF(K162="Completed","Done",IF(B162&lt;TODAY(),"OVERDUE",IF(B162=TODAY(),"DUE TODAY","Upcoming")))</x:f>
        <x:v>Upcoming</x:v>
      </x:c>
      <x:c r="P162" s="21"/>
      <x:c r="Q162" s="20" t="str"/>
      <x:c r="R162" s="20" t="str"/>
    </x:row>
    <x:row r="163">
      <x:c r="A163" s="20" t="str">
        <x:v>T160</x:v>
      </x:c>
      <x:c r="B163" s="21" t="n">
        <x:v>46327</x:v>
      </x:c>
      <x:c r="C163" s="20" t="str">
        <x:v>Week 5</x:v>
      </x:c>
      <x:c r="D163" s="20" t="str">
        <x:v>PP Finalisation</x:v>
      </x:c>
      <x:c r="E163" s="20" t="str">
        <x:v>Create backup slide for detailed technical architecture</x:v>
      </x:c>
      <x:c r="F163" s="20" t="str">
        <x:v>Backup: architecture</x:v>
      </x:c>
      <x:c r="G163" s="20" t="n">
        <x:v>1</x:v>
      </x:c>
      <x:c r="H163" s="20" t="str">
        <x:v>Critical</x:v>
      </x:c>
      <x:c r="I163" s="20" t="str"/>
      <x:c r="J163" s="20" t="str"/>
      <x:c r="K163" s="20" t="str">
        <x:v>Not Started</x:v>
      </x:c>
      <x:c r="L163" s="20" t="n">
        <x:f>IF(K163="Completed",100,IF(K163="In Progress",50,0))</x:f>
        <x:v>0</x:v>
      </x:c>
      <x:c r="M163" s="20"/>
      <x:c r="N163" s="20" t="str">
        <x:f>IF(OR(K163&lt;&gt;"Completed",M163=""),"",IF(M163&lt;4.5,"YES","NO"))</x:f>
      </x:c>
      <x:c r="O163" s="20" t="str">
        <x:f>IF(K163="Completed","Done",IF(B163&lt;TODAY(),"OVERDUE",IF(B163=TODAY(),"DUE TODAY","Upcoming")))</x:f>
        <x:v>Upcoming</x:v>
      </x:c>
      <x:c r="P163" s="21"/>
      <x:c r="Q163" s="20" t="str"/>
      <x:c r="R163" s="20" t="str"/>
    </x:row>
    <x:row r="164">
      <x:c r="A164" s="20" t="str">
        <x:v>T161</x:v>
      </x:c>
      <x:c r="B164" s="21" t="n">
        <x:v>46327</x:v>
      </x:c>
      <x:c r="C164" s="20" t="str">
        <x:v>Week 5</x:v>
      </x:c>
      <x:c r="D164" s="20" t="str">
        <x:v>PP Finalisation</x:v>
      </x:c>
      <x:c r="E164" s="20" t="str">
        <x:v>Create backup slide for AI-use verification and evidence</x:v>
      </x:c>
      <x:c r="F164" s="20" t="str">
        <x:v>Backup: AI verification</x:v>
      </x:c>
      <x:c r="G164" s="20" t="n">
        <x:v>1</x:v>
      </x:c>
      <x:c r="H164" s="20" t="str">
        <x:v>Critical</x:v>
      </x:c>
      <x:c r="I164" s="20" t="str"/>
      <x:c r="J164" s="20" t="str"/>
      <x:c r="K164" s="20" t="str">
        <x:v>Not Started</x:v>
      </x:c>
      <x:c r="L164" s="20" t="n">
        <x:f>IF(K164="Completed",100,IF(K164="In Progress",50,0))</x:f>
        <x:v>0</x:v>
      </x:c>
      <x:c r="M164" s="20"/>
      <x:c r="N164" s="20" t="str">
        <x:f>IF(OR(K164&lt;&gt;"Completed",M164=""),"",IF(M164&lt;4.5,"YES","NO"))</x:f>
      </x:c>
      <x:c r="O164" s="20" t="str">
        <x:f>IF(K164="Completed","Done",IF(B164&lt;TODAY(),"OVERDUE",IF(B164=TODAY(),"DUE TODAY","Upcoming")))</x:f>
        <x:v>Upcoming</x:v>
      </x:c>
      <x:c r="P164" s="21"/>
      <x:c r="Q164" s="20" t="str"/>
      <x:c r="R164" s="20" t="str"/>
    </x:row>
    <x:row r="165">
      <x:c r="A165" s="20" t="str">
        <x:v>T162</x:v>
      </x:c>
      <x:c r="B165" s="21" t="n">
        <x:v>46327</x:v>
      </x:c>
      <x:c r="C165" s="20" t="str">
        <x:v>Week 5</x:v>
      </x:c>
      <x:c r="D165" s="20" t="str">
        <x:v>PP Finalisation</x:v>
      </x:c>
      <x:c r="E165" s="20" t="str">
        <x:v>Complete the Ethics Application</x:v>
      </x:c>
      <x:c r="F165" s="20" t="str">
        <x:v>Completed ethics form</x:v>
      </x:c>
      <x:c r="G165" s="20" t="n">
        <x:v>1</x:v>
      </x:c>
      <x:c r="H165" s="20" t="str">
        <x:v>Critical</x:v>
      </x:c>
      <x:c r="I165" s="20" t="str"/>
      <x:c r="J165" s="20" t="str"/>
      <x:c r="K165" s="20" t="str">
        <x:v>Not Started</x:v>
      </x:c>
      <x:c r="L165" s="20" t="n">
        <x:f>IF(K165="Completed",100,IF(K165="In Progress",50,0))</x:f>
        <x:v>0</x:v>
      </x:c>
      <x:c r="M165" s="20"/>
      <x:c r="N165" s="20" t="str">
        <x:f>IF(OR(K165&lt;&gt;"Completed",M165=""),"",IF(M165&lt;4.5,"YES","NO"))</x:f>
      </x:c>
      <x:c r="O165" s="20" t="str">
        <x:f>IF(K165="Completed","Done",IF(B165&lt;TODAY(),"OVERDUE",IF(B165=TODAY(),"DUE TODAY","Upcoming")))</x:f>
        <x:v>Upcoming</x:v>
      </x:c>
      <x:c r="P165" s="21"/>
      <x:c r="Q165" s="20" t="str"/>
      <x:c r="R165" s="20" t="str"/>
    </x:row>
    <x:row r="166">
      <x:c r="A166" s="20" t="str">
        <x:v>T163</x:v>
      </x:c>
      <x:c r="B166" s="21" t="n">
        <x:v>46327</x:v>
      </x:c>
      <x:c r="C166" s="20" t="str">
        <x:v>Week 5</x:v>
      </x:c>
      <x:c r="D166" s="20" t="str">
        <x:v>PP Finalisation</x:v>
      </x:c>
      <x:c r="E166" s="20" t="str">
        <x:v>Check every Ethics Application field and required signature</x:v>
      </x:c>
      <x:c r="F166" s="20" t="str">
        <x:v>Ethics QA</x:v>
      </x:c>
      <x:c r="G166" s="20" t="n">
        <x:v>1</x:v>
      </x:c>
      <x:c r="H166" s="20" t="str">
        <x:v>Critical</x:v>
      </x:c>
      <x:c r="I166" s="20" t="str"/>
      <x:c r="J166" s="20" t="str"/>
      <x:c r="K166" s="20" t="str">
        <x:v>Not Started</x:v>
      </x:c>
      <x:c r="L166" s="20" t="n">
        <x:f>IF(K166="Completed",100,IF(K166="In Progress",50,0))</x:f>
        <x:v>0</x:v>
      </x:c>
      <x:c r="M166" s="20"/>
      <x:c r="N166" s="20" t="str">
        <x:f>IF(OR(K166&lt;&gt;"Completed",M166=""),"",IF(M166&lt;4.5,"YES","NO"))</x:f>
      </x:c>
      <x:c r="O166" s="20" t="str">
        <x:f>IF(K166="Completed","Done",IF(B166&lt;TODAY(),"OVERDUE",IF(B166=TODAY(),"DUE TODAY","Upcoming")))</x:f>
        <x:v>Upcoming</x:v>
      </x:c>
      <x:c r="P166" s="21"/>
      <x:c r="Q166" s="20" t="str"/>
      <x:c r="R166" s="20" t="str"/>
    </x:row>
    <x:row r="167">
      <x:c r="A167" s="20" t="str">
        <x:v>T164</x:v>
      </x:c>
      <x:c r="B167" s="21" t="n">
        <x:v>46327</x:v>
      </x:c>
      <x:c r="C167" s="20" t="str">
        <x:v>Week 5</x:v>
      </x:c>
      <x:c r="D167" s="20" t="str">
        <x:v>PP Finalisation</x:v>
      </x:c>
      <x:c r="E167" s="20" t="str">
        <x:v>Check every slide citation against the underlying source</x:v>
      </x:c>
      <x:c r="F167" s="20" t="str">
        <x:v>Slide citation QA</x:v>
      </x:c>
      <x:c r="G167" s="20" t="n">
        <x:v>1</x:v>
      </x:c>
      <x:c r="H167" s="20" t="str">
        <x:v>Critical</x:v>
      </x:c>
      <x:c r="I167" s="20" t="str"/>
      <x:c r="J167" s="20" t="str"/>
      <x:c r="K167" s="20" t="str">
        <x:v>Not Started</x:v>
      </x:c>
      <x:c r="L167" s="20" t="n">
        <x:f>IF(K167="Completed",100,IF(K167="In Progress",50,0))</x:f>
        <x:v>0</x:v>
      </x:c>
      <x:c r="M167" s="20"/>
      <x:c r="N167" s="20" t="str">
        <x:f>IF(OR(K167&lt;&gt;"Completed",M167=""),"",IF(M167&lt;4.5,"YES","NO"))</x:f>
      </x:c>
      <x:c r="O167" s="20" t="str">
        <x:f>IF(K167="Completed","Done",IF(B167&lt;TODAY(),"OVERDUE",IF(B167=TODAY(),"DUE TODAY","Upcoming")))</x:f>
        <x:v>Upcoming</x:v>
      </x:c>
      <x:c r="P167" s="21"/>
      <x:c r="Q167" s="20" t="str"/>
      <x:c r="R167" s="20" t="str"/>
    </x:row>
    <x:row r="168">
      <x:c r="A168" s="20" t="str">
        <x:v>T165</x:v>
      </x:c>
      <x:c r="B168" s="21" t="n">
        <x:v>46327</x:v>
      </x:c>
      <x:c r="C168" s="20" t="str">
        <x:v>Week 5</x:v>
      </x:c>
      <x:c r="D168" s="20" t="str">
        <x:v>PP Finalisation</x:v>
      </x:c>
      <x:c r="E168" s="20" t="str">
        <x:v>Reconcile every in-slide citation with the final reference list</x:v>
      </x:c>
      <x:c r="F168" s="20" t="str">
        <x:v>Reference-list QA</x:v>
      </x:c>
      <x:c r="G168" s="20" t="n">
        <x:v>1</x:v>
      </x:c>
      <x:c r="H168" s="20" t="str">
        <x:v>Critical</x:v>
      </x:c>
      <x:c r="I168" s="20" t="str"/>
      <x:c r="J168" s="20" t="str"/>
      <x:c r="K168" s="20" t="str">
        <x:v>Not Started</x:v>
      </x:c>
      <x:c r="L168" s="20" t="n">
        <x:f>IF(K168="Completed",100,IF(K168="In Progress",50,0))</x:f>
        <x:v>0</x:v>
      </x:c>
      <x:c r="M168" s="20"/>
      <x:c r="N168" s="20" t="str">
        <x:f>IF(OR(K168&lt;&gt;"Completed",M168=""),"",IF(M168&lt;4.5,"YES","NO"))</x:f>
      </x:c>
      <x:c r="O168" s="20" t="str">
        <x:f>IF(K168="Completed","Done",IF(B168&lt;TODAY(),"OVERDUE",IF(B168=TODAY(),"DUE TODAY","Upcoming")))</x:f>
        <x:v>Upcoming</x:v>
      </x:c>
      <x:c r="P168" s="21"/>
      <x:c r="Q168" s="20" t="str"/>
      <x:c r="R168" s="20" t="str"/>
    </x:row>
    <x:row r="169">
      <x:c r="A169" s="20" t="str">
        <x:v>T166</x:v>
      </x:c>
      <x:c r="B169" s="21" t="n">
        <x:v>46327</x:v>
      </x:c>
      <x:c r="C169" s="20" t="str">
        <x:v>Week 5</x:v>
      </x:c>
      <x:c r="D169" s="20" t="str">
        <x:v>PP Finalisation</x:v>
      </x:c>
      <x:c r="E169" s="20" t="str">
        <x:v>Remove any unsupported or absolute novelty claim from the slides</x:v>
      </x:c>
      <x:c r="F169" s="20" t="str">
        <x:v>Academic-practice QA</x:v>
      </x:c>
      <x:c r="G169" s="20" t="n">
        <x:v>1</x:v>
      </x:c>
      <x:c r="H169" s="20" t="str">
        <x:v>Critical</x:v>
      </x:c>
      <x:c r="I169" s="20" t="str"/>
      <x:c r="J169" s="20" t="str"/>
      <x:c r="K169" s="20" t="str">
        <x:v>Not Started</x:v>
      </x:c>
      <x:c r="L169" s="20" t="n">
        <x:f>IF(K169="Completed",100,IF(K169="In Progress",50,0))</x:f>
        <x:v>0</x:v>
      </x:c>
      <x:c r="M169" s="20"/>
      <x:c r="N169" s="20" t="str">
        <x:f>IF(OR(K169&lt;&gt;"Completed",M169=""),"",IF(M169&lt;4.5,"YES","NO"))</x:f>
      </x:c>
      <x:c r="O169" s="20" t="str">
        <x:f>IF(K169="Completed","Done",IF(B169&lt;TODAY(),"OVERDUE",IF(B169=TODAY(),"DUE TODAY","Upcoming")))</x:f>
        <x:v>Upcoming</x:v>
      </x:c>
      <x:c r="P169" s="21"/>
      <x:c r="Q169" s="20" t="str"/>
      <x:c r="R169" s="20" t="str"/>
    </x:row>
    <x:row r="170">
      <x:c r="A170" s="20" t="str">
        <x:v>T167</x:v>
      </x:c>
      <x:c r="B170" s="21" t="n">
        <x:v>46327</x:v>
      </x:c>
      <x:c r="C170" s="20" t="str">
        <x:v>Week 5</x:v>
      </x:c>
      <x:c r="D170" s="20" t="str">
        <x:v>PP Finalisation</x:v>
      </x:c>
      <x:c r="E170" s="20" t="str">
        <x:v>Check every architecture/table/figure is readable at normal presentation size</x:v>
      </x:c>
      <x:c r="F170" s="20" t="str">
        <x:v>Visual QA</x:v>
      </x:c>
      <x:c r="G170" s="20" t="n">
        <x:v>1</x:v>
      </x:c>
      <x:c r="H170" s="20" t="str">
        <x:v>Critical</x:v>
      </x:c>
      <x:c r="I170" s="20" t="str"/>
      <x:c r="J170" s="20" t="str"/>
      <x:c r="K170" s="20" t="str">
        <x:v>Not Started</x:v>
      </x:c>
      <x:c r="L170" s="20" t="n">
        <x:f>IF(K170="Completed",100,IF(K170="In Progress",50,0))</x:f>
        <x:v>0</x:v>
      </x:c>
      <x:c r="M170" s="20"/>
      <x:c r="N170" s="20" t="str">
        <x:f>IF(OR(K170&lt;&gt;"Completed",M170=""),"",IF(M170&lt;4.5,"YES","NO"))</x:f>
      </x:c>
      <x:c r="O170" s="20" t="str">
        <x:f>IF(K170="Completed","Done",IF(B170&lt;TODAY(),"OVERDUE",IF(B170=TODAY(),"DUE TODAY","Upcoming")))</x:f>
        <x:v>Upcoming</x:v>
      </x:c>
      <x:c r="P170" s="21"/>
      <x:c r="Q170" s="20" t="str"/>
      <x:c r="R170" s="20" t="str"/>
    </x:row>
    <x:row r="171">
      <x:c r="A171" s="20" t="str">
        <x:v>T168</x:v>
      </x:c>
      <x:c r="B171" s="21" t="n">
        <x:v>46327</x:v>
      </x:c>
      <x:c r="C171" s="20" t="str">
        <x:v>Week 5</x:v>
      </x:c>
      <x:c r="D171" s="20" t="str">
        <x:v>PP Finalisation</x:v>
      </x:c>
      <x:c r="E171" s="20" t="str">
        <x:v>Audit the full presentation against every PP marking criterion</x:v>
      </x:c>
      <x:c r="F171" s="20" t="str">
        <x:v>Rubric audit</x:v>
      </x:c>
      <x:c r="G171" s="20" t="n">
        <x:v>1</x:v>
      </x:c>
      <x:c r="H171" s="20" t="str">
        <x:v>Critical</x:v>
      </x:c>
      <x:c r="I171" s="20" t="str"/>
      <x:c r="J171" s="20" t="str"/>
      <x:c r="K171" s="20" t="str">
        <x:v>Not Started</x:v>
      </x:c>
      <x:c r="L171" s="20" t="n">
        <x:f>IF(K171="Completed",100,IF(K171="In Progress",50,0))</x:f>
        <x:v>0</x:v>
      </x:c>
      <x:c r="M171" s="20"/>
      <x:c r="N171" s="20" t="str">
        <x:f>IF(OR(K171&lt;&gt;"Completed",M171=""),"",IF(M171&lt;4.5,"YES","NO"))</x:f>
      </x:c>
      <x:c r="O171" s="20" t="str">
        <x:f>IF(K171="Completed","Done",IF(B171&lt;TODAY(),"OVERDUE",IF(B171=TODAY(),"DUE TODAY","Upcoming")))</x:f>
        <x:v>Upcoming</x:v>
      </x:c>
      <x:c r="P171" s="21"/>
      <x:c r="Q171" s="20" t="str"/>
      <x:c r="R171" s="20" t="str"/>
    </x:row>
    <x:row r="172">
      <x:c r="A172" s="20" t="str">
        <x:v>T169</x:v>
      </x:c>
      <x:c r="B172" s="21" t="n">
        <x:v>46327</x:v>
      </x:c>
      <x:c r="C172" s="20" t="str">
        <x:v>Week 5</x:v>
      </x:c>
      <x:c r="D172" s="20" t="str">
        <x:v>PP Finalisation</x:v>
      </x:c>
      <x:c r="E172" s="20" t="str">
        <x:v>Audit the work against the Student Guide final-readiness checklist</x:v>
      </x:c>
      <x:c r="F172" s="20" t="str">
        <x:v>Readiness audit</x:v>
      </x:c>
      <x:c r="G172" s="20" t="n">
        <x:v>1</x:v>
      </x:c>
      <x:c r="H172" s="20" t="str">
        <x:v>Critical</x:v>
      </x:c>
      <x:c r="I172" s="20" t="str"/>
      <x:c r="J172" s="20" t="str"/>
      <x:c r="K172" s="20" t="str">
        <x:v>Not Started</x:v>
      </x:c>
      <x:c r="L172" s="20" t="n">
        <x:f>IF(K172="Completed",100,IF(K172="In Progress",50,0))</x:f>
        <x:v>0</x:v>
      </x:c>
      <x:c r="M172" s="20"/>
      <x:c r="N172" s="20" t="str">
        <x:f>IF(OR(K172&lt;&gt;"Completed",M172=""),"",IF(M172&lt;4.5,"YES","NO"))</x:f>
      </x:c>
      <x:c r="O172" s="20" t="str">
        <x:f>IF(K172="Completed","Done",IF(B172&lt;TODAY(),"OVERDUE",IF(B172=TODAY(),"DUE TODAY","Upcoming")))</x:f>
        <x:v>Upcoming</x:v>
      </x:c>
      <x:c r="P172" s="21"/>
      <x:c r="Q172" s="20" t="str"/>
      <x:c r="R172" s="20" t="str"/>
    </x:row>
    <x:row r="173">
      <x:c r="A173" s="20" t="str">
        <x:v>T170</x:v>
      </x:c>
      <x:c r="B173" s="21" t="n">
        <x:v>46327</x:v>
      </x:c>
      <x:c r="C173" s="20" t="str">
        <x:v>Week 5</x:v>
      </x:c>
      <x:c r="D173" s="20" t="str">
        <x:v>PP Finalisation</x:v>
      </x:c>
      <x:c r="E173" s="20" t="str">
        <x:v>Freeze and archive PoC Version 1 used as Project Proposal evidence</x:v>
      </x:c>
      <x:c r="F173" s="20" t="str">
        <x:v>PoC v1 archive</x:v>
      </x:c>
      <x:c r="G173" s="20" t="n">
        <x:v>1</x:v>
      </x:c>
      <x:c r="H173" s="20" t="str">
        <x:v>Critical</x:v>
      </x:c>
      <x:c r="I173" s="20" t="str"/>
      <x:c r="J173" s="20" t="str">
        <x:v>All substantive PP work complete</x:v>
      </x:c>
      <x:c r="K173" s="20" t="str">
        <x:v>Not Started</x:v>
      </x:c>
      <x:c r="L173" s="20" t="n">
        <x:f>IF(K173="Completed",100,IF(K173="In Progress",50,0))</x:f>
        <x:v>0</x:v>
      </x:c>
      <x:c r="M173" s="20"/>
      <x:c r="N173" s="20" t="str">
        <x:f>IF(OR(K173&lt;&gt;"Completed",M173=""),"",IF(M173&lt;4.5,"YES","NO"))</x:f>
      </x:c>
      <x:c r="O173" s="20" t="str">
        <x:f>IF(K173="Completed","Done",IF(B173&lt;TODAY(),"OVERDUE",IF(B173=TODAY(),"DUE TODAY","Upcoming")))</x:f>
        <x:v>Upcoming</x:v>
      </x:c>
      <x:c r="P173" s="21"/>
      <x:c r="Q173" s="20" t="str"/>
      <x:c r="R173" s="20" t="str"/>
    </x:row>
    <x:row r="174">
      <x:c r="A174" s="20" t="str">
        <x:v>T171</x:v>
      </x:c>
      <x:c r="B174" s="21" t="n">
        <x:v>46329</x:v>
      </x:c>
      <x:c r="C174" s="20" t="str">
        <x:v>Final</x:v>
      </x:c>
      <x:c r="D174" s="20" t="str">
        <x:v>Submission QA</x:v>
      </x:c>
      <x:c r="E174" s="20" t="str">
        <x:v>Proofread Slides 1–11 for language and typographical errors</x:v>
      </x:c>
      <x:c r="F174" s="20" t="str">
        <x:v>Slides 1–11 proofreading complete</x:v>
      </x:c>
      <x:c r="G174" s="20" t="n">
        <x:v>0.5</x:v>
      </x:c>
      <x:c r="H174" s="20" t="str">
        <x:v>Critical</x:v>
      </x:c>
      <x:c r="I174" s="20" t="str"/>
      <x:c r="J174" s="20" t="str"/>
      <x:c r="K174" s="20" t="str">
        <x:v>Not Started</x:v>
      </x:c>
      <x:c r="L174" s="20" t="n">
        <x:f>IF(K174="Completed",100,IF(K174="In Progress",50,0))</x:f>
        <x:v>0</x:v>
      </x:c>
      <x:c r="M174" s="20"/>
      <x:c r="N174" s="20" t="str">
        <x:f>IF(OR(K174&lt;&gt;"Completed",M174=""),"",IF(M174&lt;4.5,"YES","NO"))</x:f>
      </x:c>
      <x:c r="O174" s="20" t="str">
        <x:f>IF(K174="Completed","Done",IF(B174&lt;TODAY(),"OVERDUE",IF(B174=TODAY(),"DUE TODAY","Upcoming")))</x:f>
        <x:v>Upcoming</x:v>
      </x:c>
      <x:c r="P174" s="21"/>
      <x:c r="Q174" s="20" t="str"/>
      <x:c r="R174" s="20" t="str"/>
    </x:row>
    <x:row r="175">
      <x:c r="A175" s="20" t="str">
        <x:v>T172</x:v>
      </x:c>
      <x:c r="B175" s="21" t="n">
        <x:v>46329</x:v>
      </x:c>
      <x:c r="C175" s="20" t="str">
        <x:v>Final</x:v>
      </x:c>
      <x:c r="D175" s="20" t="str">
        <x:v>Submission QA</x:v>
      </x:c>
      <x:c r="E175" s="20" t="str">
        <x:v>Proofread Slides 12–21 for language and typographical errors</x:v>
      </x:c>
      <x:c r="F175" s="20" t="str">
        <x:v>Slides 12–21 proofreading complete</x:v>
      </x:c>
      <x:c r="G175" s="20" t="n">
        <x:v>0.5</x:v>
      </x:c>
      <x:c r="H175" s="20" t="str">
        <x:v>Critical</x:v>
      </x:c>
      <x:c r="I175" s="20" t="str"/>
      <x:c r="J175" s="20" t="str"/>
      <x:c r="K175" s="20" t="str">
        <x:v>Not Started</x:v>
      </x:c>
      <x:c r="L175" s="20" t="n">
        <x:f>IF(K175="Completed",100,IF(K175="In Progress",50,0))</x:f>
        <x:v>0</x:v>
      </x:c>
      <x:c r="M175" s="20"/>
      <x:c r="N175" s="20" t="str">
        <x:f>IF(OR(K175&lt;&gt;"Completed",M175=""),"",IF(M175&lt;4.5,"YES","NO"))</x:f>
      </x:c>
      <x:c r="O175" s="20" t="str">
        <x:f>IF(K175="Completed","Done",IF(B175&lt;TODAY(),"OVERDUE",IF(B175=TODAY(),"DUE TODAY","Upcoming")))</x:f>
        <x:v>Upcoming</x:v>
      </x:c>
      <x:c r="P175" s="21"/>
      <x:c r="Q175" s="20" t="str"/>
      <x:c r="R175" s="20" t="str"/>
    </x:row>
    <x:row r="176">
      <x:c r="A176" s="20" t="str">
        <x:v>T173</x:v>
      </x:c>
      <x:c r="B176" s="21" t="n">
        <x:v>46329</x:v>
      </x:c>
      <x:c r="C176" s="20" t="str">
        <x:v>Final</x:v>
      </x:c>
      <x:c r="D176" s="20" t="str">
        <x:v>Submission QA</x:v>
      </x:c>
      <x:c r="E176" s="20" t="str">
        <x:v>Verify student IDs, supervisor name and project title</x:v>
      </x:c>
      <x:c r="F176" s="20" t="str">
        <x:v>Identity/details check</x:v>
      </x:c>
      <x:c r="G176" s="20" t="n">
        <x:v>0.5</x:v>
      </x:c>
      <x:c r="H176" s="20" t="str">
        <x:v>Critical</x:v>
      </x:c>
      <x:c r="I176" s="20" t="str"/>
      <x:c r="J176" s="20" t="str"/>
      <x:c r="K176" s="20" t="str">
        <x:v>Not Started</x:v>
      </x:c>
      <x:c r="L176" s="20" t="n">
        <x:f>IF(K176="Completed",100,IF(K176="In Progress",50,0))</x:f>
        <x:v>0</x:v>
      </x:c>
      <x:c r="M176" s="20"/>
      <x:c r="N176" s="20" t="str">
        <x:f>IF(OR(K176&lt;&gt;"Completed",M176=""),"",IF(M176&lt;4.5,"YES","NO"))</x:f>
      </x:c>
      <x:c r="O176" s="20" t="str">
        <x:f>IF(K176="Completed","Done",IF(B176&lt;TODAY(),"OVERDUE",IF(B176=TODAY(),"DUE TODAY","Upcoming")))</x:f>
        <x:v>Upcoming</x:v>
      </x:c>
      <x:c r="P176" s="21"/>
      <x:c r="Q176" s="20" t="str"/>
      <x:c r="R176" s="20" t="str"/>
    </x:row>
    <x:row r="177">
      <x:c r="A177" s="20" t="str">
        <x:v>T174</x:v>
      </x:c>
      <x:c r="B177" s="21" t="n">
        <x:v>46329</x:v>
      </x:c>
      <x:c r="C177" s="20" t="str">
        <x:v>Final</x:v>
      </x:c>
      <x:c r="D177" s="20" t="str">
        <x:v>Submission QA</x:v>
      </x:c>
      <x:c r="E177" s="20" t="str">
        <x:v>Verify final slide order against the official PP template</x:v>
      </x:c>
      <x:c r="F177" s="20" t="str">
        <x:v>Template-order check</x:v>
      </x:c>
      <x:c r="G177" s="20" t="n">
        <x:v>0.5</x:v>
      </x:c>
      <x:c r="H177" s="20" t="str">
        <x:v>Critical</x:v>
      </x:c>
      <x:c r="I177" s="20" t="str"/>
      <x:c r="J177" s="20" t="str"/>
      <x:c r="K177" s="20" t="str">
        <x:v>Not Started</x:v>
      </x:c>
      <x:c r="L177" s="20" t="n">
        <x:f>IF(K177="Completed",100,IF(K177="In Progress",50,0))</x:f>
        <x:v>0</x:v>
      </x:c>
      <x:c r="M177" s="20"/>
      <x:c r="N177" s="20" t="str">
        <x:f>IF(OR(K177&lt;&gt;"Completed",M177=""),"",IF(M177&lt;4.5,"YES","NO"))</x:f>
      </x:c>
      <x:c r="O177" s="20" t="str">
        <x:f>IF(K177="Completed","Done",IF(B177&lt;TODAY(),"OVERDUE",IF(B177=TODAY(),"DUE TODAY","Upcoming")))</x:f>
        <x:v>Upcoming</x:v>
      </x:c>
      <x:c r="P177" s="21"/>
      <x:c r="Q177" s="20" t="str"/>
      <x:c r="R177" s="20" t="str"/>
    </x:row>
    <x:row r="178">
      <x:c r="A178" s="20" t="str">
        <x:v>T175</x:v>
      </x:c>
      <x:c r="B178" s="21" t="n">
        <x:v>46330</x:v>
      </x:c>
      <x:c r="C178" s="20" t="str">
        <x:v>Final</x:v>
      </x:c>
      <x:c r="D178" s="20" t="str">
        <x:v>Submission QA</x:v>
      </x:c>
      <x:c r="E178" s="20" t="str">
        <x:v>Run one complete timed presentation rehearsal</x:v>
      </x:c>
      <x:c r="F178" s="20" t="str">
        <x:v>Timed rehearsal record</x:v>
      </x:c>
      <x:c r="G178" s="20" t="n">
        <x:v>0.5</x:v>
      </x:c>
      <x:c r="H178" s="20" t="str">
        <x:v>Critical</x:v>
      </x:c>
      <x:c r="I178" s="20" t="str"/>
      <x:c r="J178" s="20" t="str"/>
      <x:c r="K178" s="20" t="str">
        <x:v>Not Started</x:v>
      </x:c>
      <x:c r="L178" s="20" t="n">
        <x:f>IF(K178="Completed",100,IF(K178="In Progress",50,0))</x:f>
        <x:v>0</x:v>
      </x:c>
      <x:c r="M178" s="20"/>
      <x:c r="N178" s="20" t="str">
        <x:f>IF(OR(K178&lt;&gt;"Completed",M178=""),"",IF(M178&lt;4.5,"YES","NO"))</x:f>
      </x:c>
      <x:c r="O178" s="20" t="str">
        <x:f>IF(K178="Completed","Done",IF(B178&lt;TODAY(),"OVERDUE",IF(B178=TODAY(),"DUE TODAY","Upcoming")))</x:f>
        <x:v>Upcoming</x:v>
      </x:c>
      <x:c r="P178" s="21"/>
      <x:c r="Q178" s="20" t="str"/>
      <x:c r="R178" s="20" t="str"/>
    </x:row>
    <x:row r="179">
      <x:c r="A179" s="20" t="str">
        <x:v>T176</x:v>
      </x:c>
      <x:c r="B179" s="21" t="n">
        <x:v>46330</x:v>
      </x:c>
      <x:c r="C179" s="20" t="str">
        <x:v>Final</x:v>
      </x:c>
      <x:c r="D179" s="20" t="str">
        <x:v>Submission QA</x:v>
      </x:c>
      <x:c r="E179" s="20" t="str">
        <x:v>Check presentation duration and identify any over-time section</x:v>
      </x:c>
      <x:c r="F179" s="20" t="str">
        <x:v>Timing QA</x:v>
      </x:c>
      <x:c r="G179" s="20" t="n">
        <x:v>0.5</x:v>
      </x:c>
      <x:c r="H179" s="20" t="str">
        <x:v>Critical</x:v>
      </x:c>
      <x:c r="I179" s="20" t="str"/>
      <x:c r="J179" s="20" t="str"/>
      <x:c r="K179" s="20" t="str">
        <x:v>Not Started</x:v>
      </x:c>
      <x:c r="L179" s="20" t="n">
        <x:f>IF(K179="Completed",100,IF(K179="In Progress",50,0))</x:f>
        <x:v>0</x:v>
      </x:c>
      <x:c r="M179" s="20"/>
      <x:c r="N179" s="20" t="str">
        <x:f>IF(OR(K179&lt;&gt;"Completed",M179=""),"",IF(M179&lt;4.5,"YES","NO"))</x:f>
      </x:c>
      <x:c r="O179" s="20" t="str">
        <x:f>IF(K179="Completed","Done",IF(B179&lt;TODAY(),"OVERDUE",IF(B179=TODAY(),"DUE TODAY","Upcoming")))</x:f>
        <x:v>Upcoming</x:v>
      </x:c>
      <x:c r="P179" s="21"/>
      <x:c r="Q179" s="20" t="str"/>
      <x:c r="R179" s="20" t="str"/>
    </x:row>
    <x:row r="180">
      <x:c r="A180" s="20" t="str">
        <x:v>T177</x:v>
      </x:c>
      <x:c r="B180" s="21" t="n">
        <x:v>46330</x:v>
      </x:c>
      <x:c r="C180" s="20" t="str">
        <x:v>Final</x:v>
      </x:c>
      <x:c r="D180" s="20" t="str">
        <x:v>Submission QA</x:v>
      </x:c>
      <x:c r="E180" s="20" t="str">
        <x:v>Verify the final presentation opens correctly offline</x:v>
      </x:c>
      <x:c r="F180" s="20" t="str">
        <x:v>Offline-file verification</x:v>
      </x:c>
      <x:c r="G180" s="20" t="n">
        <x:v>0.5</x:v>
      </x:c>
      <x:c r="H180" s="20" t="str">
        <x:v>Critical</x:v>
      </x:c>
      <x:c r="I180" s="20" t="str"/>
      <x:c r="J180" s="20" t="str"/>
      <x:c r="K180" s="20" t="str">
        <x:v>Not Started</x:v>
      </x:c>
      <x:c r="L180" s="20" t="n">
        <x:f>IF(K180="Completed",100,IF(K180="In Progress",50,0))</x:f>
        <x:v>0</x:v>
      </x:c>
      <x:c r="M180" s="20"/>
      <x:c r="N180" s="20" t="str">
        <x:f>IF(OR(K180&lt;&gt;"Completed",M180=""),"",IF(M180&lt;4.5,"YES","NO"))</x:f>
      </x:c>
      <x:c r="O180" s="20" t="str">
        <x:f>IF(K180="Completed","Done",IF(B180&lt;TODAY(),"OVERDUE",IF(B180=TODAY(),"DUE TODAY","Upcoming")))</x:f>
        <x:v>Upcoming</x:v>
      </x:c>
      <x:c r="P180" s="21"/>
      <x:c r="Q180" s="20" t="str"/>
      <x:c r="R180" s="20" t="str"/>
    </x:row>
    <x:row r="181">
      <x:c r="A181" s="20" t="str">
        <x:v>T178</x:v>
      </x:c>
      <x:c r="B181" s="21" t="n">
        <x:v>46330</x:v>
      </x:c>
      <x:c r="C181" s="20" t="str">
        <x:v>Final</x:v>
      </x:c>
      <x:c r="D181" s="20" t="str">
        <x:v>Submission QA</x:v>
      </x:c>
      <x:c r="E181" s="20" t="str">
        <x:v>Verify the signed Ethics Application opens correctly</x:v>
      </x:c>
      <x:c r="F181" s="20" t="str">
        <x:v>Ethics-file verification</x:v>
      </x:c>
      <x:c r="G181" s="20" t="n">
        <x:v>0.5</x:v>
      </x:c>
      <x:c r="H181" s="20" t="str">
        <x:v>Critical</x:v>
      </x:c>
      <x:c r="I181" s="20" t="str"/>
      <x:c r="J181" s="20" t="str"/>
      <x:c r="K181" s="20" t="str">
        <x:v>Not Started</x:v>
      </x:c>
      <x:c r="L181" s="20" t="n">
        <x:f>IF(K181="Completed",100,IF(K181="In Progress",50,0))</x:f>
        <x:v>0</x:v>
      </x:c>
      <x:c r="M181" s="20"/>
      <x:c r="N181" s="20" t="str">
        <x:f>IF(OR(K181&lt;&gt;"Completed",M181=""),"",IF(M181&lt;4.5,"YES","NO"))</x:f>
      </x:c>
      <x:c r="O181" s="20" t="str">
        <x:f>IF(K181="Completed","Done",IF(B181&lt;TODAY(),"OVERDUE",IF(B181=TODAY(),"DUE TODAY","Upcoming")))</x:f>
        <x:v>Upcoming</x:v>
      </x:c>
      <x:c r="P181" s="21"/>
      <x:c r="Q181" s="20" t="str"/>
      <x:c r="R181" s="20" t="str"/>
    </x:row>
    <x:row r="182">
      <x:c r="A182" s="20" t="str">
        <x:v>T179</x:v>
      </x:c>
      <x:c r="B182" s="21" t="n">
        <x:v>46331</x:v>
      </x:c>
      <x:c r="C182" s="20" t="str">
        <x:v>Final</x:v>
      </x:c>
      <x:c r="D182" s="20" t="str">
        <x:v>Submission</x:v>
      </x:c>
      <x:c r="E182" s="20" t="str">
        <x:v>Upload the final Project Proposal slides</x:v>
      </x:c>
      <x:c r="F182" s="20" t="str">
        <x:v>Slides submission receipt</x:v>
      </x:c>
      <x:c r="G182" s="20" t="n">
        <x:v>0.5</x:v>
      </x:c>
      <x:c r="H182" s="20" t="str">
        <x:v>Critical</x:v>
      </x:c>
      <x:c r="I182" s="20" t="str"/>
      <x:c r="J182" s="20" t="str"/>
      <x:c r="K182" s="20" t="str">
        <x:v>Not Started</x:v>
      </x:c>
      <x:c r="L182" s="20" t="n">
        <x:f>IF(K182="Completed",100,IF(K182="In Progress",50,0))</x:f>
        <x:v>0</x:v>
      </x:c>
      <x:c r="M182" s="20"/>
      <x:c r="N182" s="20" t="str">
        <x:f>IF(OR(K182&lt;&gt;"Completed",M182=""),"",IF(M182&lt;4.5,"YES","NO"))</x:f>
      </x:c>
      <x:c r="O182" s="20" t="str">
        <x:f>IF(K182="Completed","Done",IF(B182&lt;TODAY(),"OVERDUE",IF(B182=TODAY(),"DUE TODAY","Upcoming")))</x:f>
        <x:v>Upcoming</x:v>
      </x:c>
      <x:c r="P182" s="21"/>
      <x:c r="Q182" s="20" t="str"/>
      <x:c r="R182" s="20" t="str"/>
    </x:row>
    <x:row r="183">
      <x:c r="A183" s="20" t="str">
        <x:v>T180</x:v>
      </x:c>
      <x:c r="B183" s="21" t="n">
        <x:v>46331</x:v>
      </x:c>
      <x:c r="C183" s="20" t="str">
        <x:v>Final</x:v>
      </x:c>
      <x:c r="D183" s="20" t="str">
        <x:v>Submission</x:v>
      </x:c>
      <x:c r="E183" s="20" t="str">
        <x:v>Upload the signed Ethics Application</x:v>
      </x:c>
      <x:c r="F183" s="20" t="str">
        <x:v>Ethics submission receipt</x:v>
      </x:c>
      <x:c r="G183" s="20" t="n">
        <x:v>0.5</x:v>
      </x:c>
      <x:c r="H183" s="20" t="str">
        <x:v>Critical</x:v>
      </x:c>
      <x:c r="I183" s="20" t="str"/>
      <x:c r="J183" s="20" t="str"/>
      <x:c r="K183" s="20" t="str">
        <x:v>Not Started</x:v>
      </x:c>
      <x:c r="L183" s="20" t="n">
        <x:f>IF(K183="Completed",100,IF(K183="In Progress",50,0))</x:f>
        <x:v>0</x:v>
      </x:c>
      <x:c r="M183" s="20"/>
      <x:c r="N183" s="20" t="str">
        <x:f>IF(OR(K183&lt;&gt;"Completed",M183=""),"",IF(M183&lt;4.5,"YES","NO"))</x:f>
      </x:c>
      <x:c r="O183" s="20" t="str">
        <x:f>IF(K183="Completed","Done",IF(B183&lt;TODAY(),"OVERDUE",IF(B183=TODAY(),"DUE TODAY","Upcoming")))</x:f>
        <x:v>Upcoming</x:v>
      </x:c>
      <x:c r="P183" s="21"/>
      <x:c r="Q183" s="20" t="str"/>
      <x:c r="R183" s="20" t="str"/>
    </x:row>
    <x:row r="184">
      <x:c r="A184" s="20" t="str">
        <x:v>T181</x:v>
      </x:c>
      <x:c r="B184" s="21" t="n">
        <x:v>46331</x:v>
      </x:c>
      <x:c r="C184" s="20" t="str">
        <x:v>Final</x:v>
      </x:c>
      <x:c r="D184" s="20" t="str">
        <x:v>Submission</x:v>
      </x:c>
      <x:c r="E184" s="20" t="str">
        <x:v>Reopen the submitted slides and verify integrity</x:v>
      </x:c>
      <x:c r="F184" s="20" t="str">
        <x:v>Post-upload slides check</x:v>
      </x:c>
      <x:c r="G184" s="20" t="n">
        <x:v>0.5</x:v>
      </x:c>
      <x:c r="H184" s="20" t="str">
        <x:v>Critical</x:v>
      </x:c>
      <x:c r="I184" s="20" t="str"/>
      <x:c r="J184" s="20" t="str"/>
      <x:c r="K184" s="20" t="str">
        <x:v>Not Started</x:v>
      </x:c>
      <x:c r="L184" s="20" t="n">
        <x:f>IF(K184="Completed",100,IF(K184="In Progress",50,0))</x:f>
        <x:v>0</x:v>
      </x:c>
      <x:c r="M184" s="20"/>
      <x:c r="N184" s="20" t="str">
        <x:f>IF(OR(K184&lt;&gt;"Completed",M184=""),"",IF(M184&lt;4.5,"YES","NO"))</x:f>
      </x:c>
      <x:c r="O184" s="20" t="str">
        <x:f>IF(K184="Completed","Done",IF(B184&lt;TODAY(),"OVERDUE",IF(B184=TODAY(),"DUE TODAY","Upcoming")))</x:f>
        <x:v>Upcoming</x:v>
      </x:c>
      <x:c r="P184" s="21"/>
      <x:c r="Q184" s="20" t="str"/>
      <x:c r="R184" s="20" t="str"/>
    </x:row>
    <x:row r="185">
      <x:c r="A185" s="20" t="str">
        <x:v>T182</x:v>
      </x:c>
      <x:c r="B185" s="21" t="n">
        <x:v>46331</x:v>
      </x:c>
      <x:c r="C185" s="20" t="str">
        <x:v>Final</x:v>
      </x:c>
      <x:c r="D185" s="20" t="str">
        <x:v>Submission</x:v>
      </x:c>
      <x:c r="E185" s="20" t="str">
        <x:v>Save submission receipts and archive the exact submitted versions</x:v>
      </x:c>
      <x:c r="F185" s="20" t="str">
        <x:v>Submission archive</x:v>
      </x:c>
      <x:c r="G185" s="20" t="n">
        <x:v>0.5</x:v>
      </x:c>
      <x:c r="H185" s="20" t="str">
        <x:v>Critical</x:v>
      </x:c>
      <x:c r="I185" s="20" t="str"/>
      <x:c r="J185" s="20" t="str">
        <x:v>Project Proposal submitted</x:v>
      </x:c>
      <x:c r="K185" s="20" t="str">
        <x:v>Not Started</x:v>
      </x:c>
      <x:c r="L185" s="20" t="n">
        <x:f>IF(K185="Completed",100,IF(K185="In Progress",50,0))</x:f>
        <x:v>0</x:v>
      </x:c>
      <x:c r="M185" s="20"/>
      <x:c r="N185" s="20" t="str">
        <x:f>IF(OR(K185&lt;&gt;"Completed",M185=""),"",IF(M185&lt;4.5,"YES","NO"))</x:f>
      </x:c>
      <x:c r="O185" s="20" t="str">
        <x:f>IF(K185="Completed","Done",IF(B185&lt;TODAY(),"OVERDUE",IF(B185=TODAY(),"DUE TODAY","Upcoming")))</x:f>
        <x:v>Upcoming</x:v>
      </x:c>
      <x:c r="P185" s="21"/>
      <x:c r="Q185" s="20" t="str"/>
      <x:c r="R185" s="20" t="str"/>
    </x:row>
    <x:row r="186">
      <x:c r="A186" s="20" t="str">
        <x:v>T183</x:v>
      </x:c>
      <x:c r="B186" s="21" t="n">
        <x:v>46332</x:v>
      </x:c>
      <x:c r="C186" s="20" t="str">
        <x:v>Post-Deadline</x:v>
      </x:c>
      <x:c r="D186" s="20" t="str">
        <x:v>Live Presentation</x:v>
      </x:c>
      <x:c r="E186" s="20" t="str">
        <x:v>Create a concise spoken script for Slides 1–7</x:v>
      </x:c>
      <x:c r="F186" s="20" t="str">
        <x:v>Live script part 1</x:v>
      </x:c>
      <x:c r="G186" s="20" t="n">
        <x:v>1</x:v>
      </x:c>
      <x:c r="H186" s="20" t="str">
        <x:v>High</x:v>
      </x:c>
      <x:c r="I186" s="20" t="str"/>
      <x:c r="J186" s="20" t="str"/>
      <x:c r="K186" s="20" t="str">
        <x:v>Not Started</x:v>
      </x:c>
      <x:c r="L186" s="20" t="n">
        <x:f>IF(K186="Completed",100,IF(K186="In Progress",50,0))</x:f>
        <x:v>0</x:v>
      </x:c>
      <x:c r="M186" s="20"/>
      <x:c r="N186" s="20" t="str">
        <x:f>IF(OR(K186&lt;&gt;"Completed",M186=""),"",IF(M186&lt;4.5,"YES","NO"))</x:f>
      </x:c>
      <x:c r="O186" s="20" t="str">
        <x:f>IF(K186="Completed","Done",IF(B186&lt;TODAY(),"OVERDUE",IF(B186=TODAY(),"DUE TODAY","Upcoming")))</x:f>
        <x:v>Upcoming</x:v>
      </x:c>
      <x:c r="P186" s="21"/>
      <x:c r="Q186" s="20" t="str"/>
      <x:c r="R186" s="20" t="str"/>
    </x:row>
    <x:row r="187">
      <x:c r="A187" s="20" t="str">
        <x:v>T184</x:v>
      </x:c>
      <x:c r="B187" s="21" t="n">
        <x:v>46332</x:v>
      </x:c>
      <x:c r="C187" s="20" t="str">
        <x:v>Post-Deadline</x:v>
      </x:c>
      <x:c r="D187" s="20" t="str">
        <x:v>Live Presentation</x:v>
      </x:c>
      <x:c r="E187" s="20" t="str">
        <x:v>Create a concise spoken script for Slides 8–14</x:v>
      </x:c>
      <x:c r="F187" s="20" t="str">
        <x:v>Live script part 2</x:v>
      </x:c>
      <x:c r="G187" s="20" t="n">
        <x:v>1</x:v>
      </x:c>
      <x:c r="H187" s="20" t="str">
        <x:v>High</x:v>
      </x:c>
      <x:c r="I187" s="20" t="str"/>
      <x:c r="J187" s="20" t="str"/>
      <x:c r="K187" s="20" t="str">
        <x:v>Not Started</x:v>
      </x:c>
      <x:c r="L187" s="20" t="n">
        <x:f>IF(K187="Completed",100,IF(K187="In Progress",50,0))</x:f>
        <x:v>0</x:v>
      </x:c>
      <x:c r="M187" s="20"/>
      <x:c r="N187" s="20" t="str">
        <x:f>IF(OR(K187&lt;&gt;"Completed",M187=""),"",IF(M187&lt;4.5,"YES","NO"))</x:f>
      </x:c>
      <x:c r="O187" s="20" t="str">
        <x:f>IF(K187="Completed","Done",IF(B187&lt;TODAY(),"OVERDUE",IF(B187=TODAY(),"DUE TODAY","Upcoming")))</x:f>
        <x:v>Upcoming</x:v>
      </x:c>
      <x:c r="P187" s="21"/>
      <x:c r="Q187" s="20" t="str"/>
      <x:c r="R187" s="20" t="str"/>
    </x:row>
    <x:row r="188">
      <x:c r="A188" s="20" t="str">
        <x:v>T185</x:v>
      </x:c>
      <x:c r="B188" s="21" t="n">
        <x:v>46332</x:v>
      </x:c>
      <x:c r="C188" s="20" t="str">
        <x:v>Post-Deadline</x:v>
      </x:c>
      <x:c r="D188" s="20" t="str">
        <x:v>Live Presentation</x:v>
      </x:c>
      <x:c r="E188" s="20" t="str">
        <x:v>Create a concise spoken script for Slides 15–21</x:v>
      </x:c>
      <x:c r="F188" s="20" t="str">
        <x:v>Live script part 3</x:v>
      </x:c>
      <x:c r="G188" s="20" t="n">
        <x:v>1</x:v>
      </x:c>
      <x:c r="H188" s="20" t="str">
        <x:v>High</x:v>
      </x:c>
      <x:c r="I188" s="20" t="str"/>
      <x:c r="J188" s="20" t="str"/>
      <x:c r="K188" s="20" t="str">
        <x:v>Not Started</x:v>
      </x:c>
      <x:c r="L188" s="20" t="n">
        <x:f>IF(K188="Completed",100,IF(K188="In Progress",50,0))</x:f>
        <x:v>0</x:v>
      </x:c>
      <x:c r="M188" s="20"/>
      <x:c r="N188" s="20" t="str">
        <x:f>IF(OR(K188&lt;&gt;"Completed",M188=""),"",IF(M188&lt;4.5,"YES","NO"))</x:f>
      </x:c>
      <x:c r="O188" s="20" t="str">
        <x:f>IF(K188="Completed","Done",IF(B188&lt;TODAY(),"OVERDUE",IF(B188=TODAY(),"DUE TODAY","Upcoming")))</x:f>
        <x:v>Upcoming</x:v>
      </x:c>
      <x:c r="P188" s="21"/>
      <x:c r="Q188" s="20" t="str"/>
      <x:c r="R188" s="20" t="str"/>
    </x:row>
    <x:row r="189">
      <x:c r="A189" s="20" t="str">
        <x:v>T186</x:v>
      </x:c>
      <x:c r="B189" s="21" t="n">
        <x:v>46333</x:v>
      </x:c>
      <x:c r="C189" s="20" t="str">
        <x:v>Post-Deadline</x:v>
      </x:c>
      <x:c r="D189" s="20" t="str">
        <x:v>Live Presentation</x:v>
      </x:c>
      <x:c r="E189" s="20" t="str">
        <x:v>Prepare a 30-second novelty statement</x:v>
      </x:c>
      <x:c r="F189" s="20" t="str">
        <x:v>Novelty defence</x:v>
      </x:c>
      <x:c r="G189" s="20" t="n">
        <x:v>0.5</x:v>
      </x:c>
      <x:c r="H189" s="20" t="str">
        <x:v>High</x:v>
      </x:c>
      <x:c r="I189" s="20" t="str"/>
      <x:c r="J189" s="20" t="str"/>
      <x:c r="K189" s="20" t="str">
        <x:v>Not Started</x:v>
      </x:c>
      <x:c r="L189" s="20" t="n">
        <x:f>IF(K189="Completed",100,IF(K189="In Progress",50,0))</x:f>
        <x:v>0</x:v>
      </x:c>
      <x:c r="M189" s="20"/>
      <x:c r="N189" s="20" t="str">
        <x:f>IF(OR(K189&lt;&gt;"Completed",M189=""),"",IF(M189&lt;4.5,"YES","NO"))</x:f>
      </x:c>
      <x:c r="O189" s="20" t="str">
        <x:f>IF(K189="Completed","Done",IF(B189&lt;TODAY(),"OVERDUE",IF(B189=TODAY(),"DUE TODAY","Upcoming")))</x:f>
        <x:v>Upcoming</x:v>
      </x:c>
      <x:c r="P189" s="21"/>
      <x:c r="Q189" s="20" t="str"/>
      <x:c r="R189" s="20" t="str"/>
    </x:row>
    <x:row r="190">
      <x:c r="A190" s="20" t="str">
        <x:v>T187</x:v>
      </x:c>
      <x:c r="B190" s="21" t="n">
        <x:v>46333</x:v>
      </x:c>
      <x:c r="C190" s="20" t="str">
        <x:v>Post-Deadline</x:v>
      </x:c>
      <x:c r="D190" s="20" t="str">
        <x:v>Live Presentation</x:v>
      </x:c>
      <x:c r="E190" s="20" t="str">
        <x:v>Prepare a 60-second research summary</x:v>
      </x:c>
      <x:c r="F190" s="20" t="str">
        <x:v>Research summary</x:v>
      </x:c>
      <x:c r="G190" s="20" t="n">
        <x:v>0.5</x:v>
      </x:c>
      <x:c r="H190" s="20" t="str">
        <x:v>High</x:v>
      </x:c>
      <x:c r="I190" s="20" t="str"/>
      <x:c r="J190" s="20" t="str"/>
      <x:c r="K190" s="20" t="str">
        <x:v>Not Started</x:v>
      </x:c>
      <x:c r="L190" s="20" t="n">
        <x:f>IF(K190="Completed",100,IF(K190="In Progress",50,0))</x:f>
        <x:v>0</x:v>
      </x:c>
      <x:c r="M190" s="20"/>
      <x:c r="N190" s="20" t="str">
        <x:f>IF(OR(K190&lt;&gt;"Completed",M190=""),"",IF(M190&lt;4.5,"YES","NO"))</x:f>
      </x:c>
      <x:c r="O190" s="20" t="str">
        <x:f>IF(K190="Completed","Done",IF(B190&lt;TODAY(),"OVERDUE",IF(B190=TODAY(),"DUE TODAY","Upcoming")))</x:f>
        <x:v>Upcoming</x:v>
      </x:c>
      <x:c r="P190" s="21"/>
      <x:c r="Q190" s="20" t="str"/>
      <x:c r="R190" s="20" t="str"/>
    </x:row>
    <x:row r="191">
      <x:c r="A191" s="20" t="str">
        <x:v>T188</x:v>
      </x:c>
      <x:c r="B191" s="21" t="n">
        <x:v>46333</x:v>
      </x:c>
      <x:c r="C191" s="20" t="str">
        <x:v>Post-Deadline</x:v>
      </x:c>
      <x:c r="D191" s="20" t="str">
        <x:v>Live Presentation</x:v>
      </x:c>
      <x:c r="E191" s="20" t="str">
        <x:v>Prepare answers to dataset and feasibility questions</x:v>
      </x:c>
      <x:c r="F191" s="20" t="str">
        <x:v>Dataset Q&amp;A bank</x:v>
      </x:c>
      <x:c r="G191" s="20" t="n">
        <x:v>1</x:v>
      </x:c>
      <x:c r="H191" s="20" t="str">
        <x:v>High</x:v>
      </x:c>
      <x:c r="I191" s="20" t="str"/>
      <x:c r="J191" s="20" t="str"/>
      <x:c r="K191" s="20" t="str">
        <x:v>Not Started</x:v>
      </x:c>
      <x:c r="L191" s="20" t="n">
        <x:f>IF(K191="Completed",100,IF(K191="In Progress",50,0))</x:f>
        <x:v>0</x:v>
      </x:c>
      <x:c r="M191" s="20"/>
      <x:c r="N191" s="20" t="str">
        <x:f>IF(OR(K191&lt;&gt;"Completed",M191=""),"",IF(M191&lt;4.5,"YES","NO"))</x:f>
      </x:c>
      <x:c r="O191" s="20" t="str">
        <x:f>IF(K191="Completed","Done",IF(B191&lt;TODAY(),"OVERDUE",IF(B191=TODAY(),"DUE TODAY","Upcoming")))</x:f>
        <x:v>Upcoming</x:v>
      </x:c>
      <x:c r="P191" s="21"/>
      <x:c r="Q191" s="20" t="str"/>
      <x:c r="R191" s="20" t="str"/>
    </x:row>
    <x:row r="192">
      <x:c r="A192" s="20" t="str">
        <x:v>T189</x:v>
      </x:c>
      <x:c r="B192" s="21" t="n">
        <x:v>46333</x:v>
      </x:c>
      <x:c r="C192" s="20" t="str">
        <x:v>Post-Deadline</x:v>
      </x:c>
      <x:c r="D192" s="20" t="str">
        <x:v>Live Presentation</x:v>
      </x:c>
      <x:c r="E192" s="20" t="str">
        <x:v>Prepare answers to gap, novelty and prior-work questions</x:v>
      </x:c>
      <x:c r="F192" s="20" t="str">
        <x:v>Novelty Q&amp;A bank</x:v>
      </x:c>
      <x:c r="G192" s="20" t="n">
        <x:v>1</x:v>
      </x:c>
      <x:c r="H192" s="20" t="str">
        <x:v>High</x:v>
      </x:c>
      <x:c r="I192" s="20" t="str"/>
      <x:c r="J192" s="20" t="str"/>
      <x:c r="K192" s="20" t="str">
        <x:v>Not Started</x:v>
      </x:c>
      <x:c r="L192" s="20" t="n">
        <x:f>IF(K192="Completed",100,IF(K192="In Progress",50,0))</x:f>
        <x:v>0</x:v>
      </x:c>
      <x:c r="M192" s="20"/>
      <x:c r="N192" s="20" t="str">
        <x:f>IF(OR(K192&lt;&gt;"Completed",M192=""),"",IF(M192&lt;4.5,"YES","NO"))</x:f>
      </x:c>
      <x:c r="O192" s="20" t="str">
        <x:f>IF(K192="Completed","Done",IF(B192&lt;TODAY(),"OVERDUE",IF(B192=TODAY(),"DUE TODAY","Upcoming")))</x:f>
        <x:v>Upcoming</x:v>
      </x:c>
      <x:c r="P192" s="21"/>
      <x:c r="Q192" s="20" t="str"/>
      <x:c r="R192" s="20" t="str"/>
    </x:row>
    <x:row r="193">
      <x:c r="A193" s="20" t="str">
        <x:v>T190</x:v>
      </x:c>
      <x:c r="B193" s="21" t="n">
        <x:v>46334</x:v>
      </x:c>
      <x:c r="C193" s="20" t="str">
        <x:v>Post-Deadline</x:v>
      </x:c>
      <x:c r="D193" s="20" t="str">
        <x:v>Live Presentation</x:v>
      </x:c>
      <x:c r="E193" s="20" t="str">
        <x:v>Run a full timed live-presentation rehearsal</x:v>
      </x:c>
      <x:c r="F193" s="20" t="str">
        <x:v>Rehearsal 1</x:v>
      </x:c>
      <x:c r="G193" s="20" t="n">
        <x:v>1.5</x:v>
      </x:c>
      <x:c r="H193" s="20" t="str">
        <x:v>High</x:v>
      </x:c>
      <x:c r="I193" s="20" t="str"/>
      <x:c r="J193" s="20" t="str"/>
      <x:c r="K193" s="20" t="str">
        <x:v>Not Started</x:v>
      </x:c>
      <x:c r="L193" s="20" t="n">
        <x:f>IF(K193="Completed",100,IF(K193="In Progress",50,0))</x:f>
        <x:v>0</x:v>
      </x:c>
      <x:c r="M193" s="20"/>
      <x:c r="N193" s="20" t="str">
        <x:f>IF(OR(K193&lt;&gt;"Completed",M193=""),"",IF(M193&lt;4.5,"YES","NO"))</x:f>
      </x:c>
      <x:c r="O193" s="20" t="str">
        <x:f>IF(K193="Completed","Done",IF(B193&lt;TODAY(),"OVERDUE",IF(B193=TODAY(),"DUE TODAY","Upcoming")))</x:f>
        <x:v>Upcoming</x:v>
      </x:c>
      <x:c r="P193" s="21"/>
      <x:c r="Q193" s="20" t="str"/>
      <x:c r="R193" s="20" t="str"/>
    </x:row>
    <x:row r="194">
      <x:c r="A194" s="20" t="str">
        <x:v>T191</x:v>
      </x:c>
      <x:c r="B194" s="21" t="n">
        <x:v>46334</x:v>
      </x:c>
      <x:c r="C194" s="20" t="str">
        <x:v>Post-Deadline</x:v>
      </x:c>
      <x:c r="D194" s="20" t="str">
        <x:v>Live Presentation</x:v>
      </x:c>
      <x:c r="E194" s="20" t="str">
        <x:v>Run a critical mock viva focused on novelty, data and methodology</x:v>
      </x:c>
      <x:c r="F194" s="20" t="str">
        <x:v>Mock viva 1</x:v>
      </x:c>
      <x:c r="G194" s="20" t="n">
        <x:v>1.5</x:v>
      </x:c>
      <x:c r="H194" s="20" t="str">
        <x:v>High</x:v>
      </x:c>
      <x:c r="I194" s="20" t="str"/>
      <x:c r="J194" s="20" t="str"/>
      <x:c r="K194" s="20" t="str">
        <x:v>Not Started</x:v>
      </x:c>
      <x:c r="L194" s="20" t="n">
        <x:f>IF(K194="Completed",100,IF(K194="In Progress",50,0))</x:f>
        <x:v>0</x:v>
      </x:c>
      <x:c r="M194" s="20"/>
      <x:c r="N194" s="20" t="str">
        <x:f>IF(OR(K194&lt;&gt;"Completed",M194=""),"",IF(M194&lt;4.5,"YES","NO"))</x:f>
      </x:c>
      <x:c r="O194" s="20" t="str">
        <x:f>IF(K194="Completed","Done",IF(B194&lt;TODAY(),"OVERDUE",IF(B194=TODAY(),"DUE TODAY","Upcoming")))</x:f>
        <x:v>Upcoming</x:v>
      </x:c>
      <x:c r="P194" s="21"/>
      <x:c r="Q194" s="20" t="str"/>
      <x:c r="R194" s="20" t="str"/>
    </x:row>
    <x:row r="195">
      <x:c r="A195" s="20" t="str">
        <x:v>T192</x:v>
      </x:c>
      <x:c r="B195" s="21" t="n">
        <x:v>46334</x:v>
      </x:c>
      <x:c r="C195" s="20" t="str">
        <x:v>Post-Deadline</x:v>
      </x:c>
      <x:c r="D195" s="20" t="str">
        <x:v>Live Presentation</x:v>
      </x:c>
      <x:c r="E195" s="20" t="str">
        <x:v>Prepare the PoC demo fallback if live execution fails</x:v>
      </x:c>
      <x:c r="F195" s="20" t="str">
        <x:v>Demo fallback plan</x:v>
      </x:c>
      <x:c r="G195" s="20" t="n">
        <x:v>1</x:v>
      </x:c>
      <x:c r="H195" s="20" t="str">
        <x:v>High</x:v>
      </x:c>
      <x:c r="I195" s="20" t="str"/>
      <x:c r="J195" s="20" t="str"/>
      <x:c r="K195" s="20" t="str">
        <x:v>Not Started</x:v>
      </x:c>
      <x:c r="L195" s="20" t="n">
        <x:f>IF(K195="Completed",100,IF(K195="In Progress",50,0))</x:f>
        <x:v>0</x:v>
      </x:c>
      <x:c r="M195" s="20"/>
      <x:c r="N195" s="20" t="str">
        <x:f>IF(OR(K195&lt;&gt;"Completed",M195=""),"",IF(M195&lt;4.5,"YES","NO"))</x:f>
      </x:c>
      <x:c r="O195" s="20" t="str">
        <x:f>IF(K195="Completed","Done",IF(B195&lt;TODAY(),"OVERDUE",IF(B195=TODAY(),"DUE TODAY","Upcoming")))</x:f>
        <x:v>Upcoming</x:v>
      </x:c>
      <x:c r="P195" s="21"/>
      <x:c r="Q195" s="20" t="str"/>
      <x:c r="R195" s="20" t="str"/>
    </x:row>
    <x:row r="196">
      <x:c r="A196" s="20" t="str">
        <x:v>T193</x:v>
      </x:c>
      <x:c r="B196" s="21" t="n">
        <x:v>46334</x:v>
      </x:c>
      <x:c r="C196" s="20" t="str">
        <x:v>Post-Deadline</x:v>
      </x:c>
      <x:c r="D196" s="20" t="str">
        <x:v>Live Presentation</x:v>
      </x:c>
      <x:c r="E196" s="20" t="str">
        <x:v>Correct the slide/script issues found in rehearsal</x:v>
      </x:c>
      <x:c r="F196" s="20" t="str">
        <x:v>Live presentation final corrections</x:v>
      </x:c>
      <x:c r="G196" s="20" t="n">
        <x:v>1</x:v>
      </x:c>
      <x:c r="H196" s="20" t="str">
        <x:v>High</x:v>
      </x:c>
      <x:c r="I196" s="20" t="str"/>
      <x:c r="J196" s="20" t="str"/>
      <x:c r="K196" s="20" t="str">
        <x:v>Not Started</x:v>
      </x:c>
      <x:c r="L196" s="20" t="n">
        <x:f>IF(K196="Completed",100,IF(K196="In Progress",50,0))</x:f>
        <x:v>0</x:v>
      </x:c>
      <x:c r="M196" s="20"/>
      <x:c r="N196" s="20" t="str">
        <x:f>IF(OR(K196&lt;&gt;"Completed",M196=""),"",IF(M196&lt;4.5,"YES","NO"))</x:f>
      </x:c>
      <x:c r="O196" s="20" t="str">
        <x:f>IF(K196="Completed","Done",IF(B196&lt;TODAY(),"OVERDUE",IF(B196=TODAY(),"DUE TODAY","Upcoming")))</x:f>
        <x:v>Upcoming</x:v>
      </x:c>
      <x:c r="P196" s="21"/>
      <x:c r="Q196" s="20" t="str"/>
      <x:c r="R196" s="20" t="str"/>
    </x:row>
  </x:sheetData>
  <x:mergeCells>
    <x:mergeCell ref="A1:R1"/>
  </x:mergeCells>
  <x:conditionalFormatting sqref="K4:K196">
    <x:cfRule type="expression" dxfId="0" priority="1">
      <x:formula>K4="Completed"</x:formula>
    </x:cfRule>
    <x:cfRule type="expression" dxfId="1" priority="2">
      <x:formula>K4="In Progress"</x:formula>
    </x:cfRule>
    <x:cfRule type="expression" dxfId="2" priority="3">
      <x:formula>K4="Blocked"</x:formula>
    </x:cfRule>
  </x:conditionalFormatting>
  <x:conditionalFormatting sqref="N4:N196">
    <x:cfRule type="expression" dxfId="3" priority="4">
      <x:formula>N4="YES"</x:formula>
    </x:cfRule>
  </x:conditionalFormatting>
  <x:conditionalFormatting sqref="O4:O196">
    <x:cfRule type="expression" dxfId="4" priority="5">
      <x:formula>O4="OVERDUE"</x:formula>
    </x:cfRule>
  </x:conditionalFormatting>
  <x:conditionalFormatting sqref="J4:J196">
    <x:cfRule type="expression" dxfId="5" priority="6">
      <x:formula>J4&lt;&gt;""</x:formula>
    </x:cfRule>
  </x:conditionalFormatting>
  <x:conditionalFormatting sqref="M4:M196">
    <x:cfRule type="expression" dxfId="6" priority="7">
      <x:formula>AND(ISNUMBER(M4),M4&lt;4.5)</x:formula>
    </x:cfRule>
  </x:conditionalFormatting>
  <x:dataValidations count="2">
    <x:dataValidation type="list" sqref="K4:K196">
      <x:formula1>"Not Started,In Progress,Completed,Blocked"</x:formula1>
    </x:dataValidation>
    <x:dataValidation type="list" sqref="H4:H196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c7ec06b5ad49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38" hidden="0" customWidth="1"/>
    <x:col min="5" max="5" width="60" hidden="0" customWidth="1"/>
    <x:col min="6" max="6" width="45" hidden="0" customWidth="1"/>
    <x:col min="7" max="7" width="35" hidden="0" customWidth="1"/>
    <x:col min="8" max="8" width="14" hidden="0" customWidth="1"/>
  </x:cols>
  <x:sheetData>
    <x:row r="1">
      <x:c r="A1" s="4" t="str">
        <x:v>Weekly Milestones and Quality Gates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Period</x:v>
      </x:c>
      <x:c r="B3" s="12" t="str">
        <x:v>Dates</x:v>
      </x:c>
      <x:c r="C3" s="12" t="str">
        <x:v>Available Hours</x:v>
      </x:c>
      <x:c r="D3" s="12" t="str">
        <x:v>Main Focus</x:v>
      </x:c>
      <x:c r="E3" s="12" t="str">
        <x:v>Must Be Complete</x:v>
      </x:c>
      <x:c r="F3" s="12" t="str">
        <x:v>No Longer Spend Time On</x:v>
      </x:c>
      <x:c r="G3" s="12" t="str">
        <x:v>Quality Gate</x:v>
      </x:c>
      <x:c r="H3" s="12" t="str">
        <x:v>Status</x:v>
      </x:c>
    </x:row>
    <x:row r="4">
      <x:c r="A4" s="20" t="str">
        <x:v>Week 1</x:v>
      </x:c>
      <x:c r="B4" s="20" t="str">
        <x:v>29 Sep–4 Oct</x:v>
      </x:c>
      <x:c r="C4" s="20" t="n">
        <x:v>24</x:v>
      </x:c>
      <x:c r="D4" s="20" t="str">
        <x:v>Synchronise research record; finish literature gaps; freeze gap</x:v>
      </x:c>
      <x:c r="E4" s="20" t="str">
        <x:v>P14/P53, metadata, dataset row, cross-references, main + sub-gaps</x:v>
      </x:c>
      <x:c r="F4" s="20" t="str">
        <x:v>Broad literature expansion; sentiment; new agents</x:v>
      </x:c>
      <x:c r="G4" s="20" t="str">
        <x:v>&gt;=4.5 research foundation</x:v>
      </x:c>
      <x:c r="H4" s="20" t="str">
        <x:v>In Progress</x:v>
      </x:c>
    </x:row>
    <x:row r="5">
      <x:c r="A5" s="20" t="str">
        <x:v>Week 2</x:v>
      </x:c>
      <x:c r="B5" s="20" t="str">
        <x:v>5–11 Oct</x:v>
      </x:c>
      <x:c r="C5" s="20" t="n">
        <x:v>24</x:v>
      </x:c>
      <x:c r="D5" s="20" t="str">
        <x:v>Formal research design, requirements and data universe</x:v>
      </x:c>
      <x:c r="E5" s="20" t="str">
        <x:v>Aim/RQs/objectives; success criteria; FR/NFR/DR/ML-AI/boundaries; liquidity screen</x:v>
      </x:c>
      <x:c r="F5" s="20" t="str">
        <x:v>Changing the core gap; speculative features</x:v>
      </x:c>
      <x:c r="G5" s="20" t="str">
        <x:v>&gt;=4.5 design/requirements readiness</x:v>
      </x:c>
      <x:c r="H5" s="20" t="str">
        <x:v>Not Started</x:v>
      </x:c>
    </x:row>
    <x:row r="6">
      <x:c r="A6" s="20" t="str">
        <x:v>Week 3</x:v>
      </x:c>
      <x:c r="B6" s="20" t="str">
        <x:v>12–18 Oct</x:v>
      </x:c>
      <x:c r="C6" s="20" t="n">
        <x:v>24</x:v>
      </x:c>
      <x:c r="D6" s="20" t="str">
        <x:v>Methodology, architecture and integrated PoC skeleton</x:v>
      </x:c>
      <x:c r="E6" s="20" t="str">
        <x:v>Baselines; metrics; temporal protocol; interfaces; end-to-end sample execution</x:v>
      </x:c>
      <x:c r="F6" s="20" t="str">
        <x:v>New datasets/agents/gaps after 18 Oct</x:v>
      </x:c>
      <x:c r="G6" s="20" t="str">
        <x:v>&gt;=4.5 architecture/method readiness</x:v>
      </x:c>
      <x:c r="H6" s="20" t="str">
        <x:v>Not Started</x:v>
      </x:c>
    </x:row>
    <x:row r="7">
      <x:c r="A7" s="20" t="str">
        <x:v>Week 4</x:v>
      </x:c>
      <x:c r="B7" s="20" t="str">
        <x:v>19–25 Oct</x:v>
      </x:c>
      <x:c r="C7" s="20" t="n">
        <x:v>24</x:v>
      </x:c>
      <x:c r="D7" s="20" t="str">
        <x:v>Implement and test actual technical contribution</x:v>
      </x:c>
      <x:c r="E7" s="20" t="str">
        <x:v>Dynamic orchestrator; baseline runs; ablations; persistence experiment; test plans</x:v>
      </x:c>
      <x:c r="F7" s="20" t="str">
        <x:v>UI polishing; optional components</x:v>
      </x:c>
      <x:c r="G7" s="20" t="str">
        <x:v>PoC demonstrates research mechanism</x:v>
      </x:c>
      <x:c r="H7" s="20" t="str">
        <x:v>Not Started</x:v>
      </x:c>
    </x:row>
    <x:row r="8">
      <x:c r="A8" s="20" t="str">
        <x:v>Week 5</x:v>
      </x:c>
      <x:c r="B8" s="20" t="str">
        <x:v>26 Oct–1 Nov</x:v>
      </x:c>
      <x:c r="C8" s="20" t="n">
        <x:v>24</x:v>
      </x:c>
      <x:c r="D8" s="20" t="str">
        <x:v>Complete PP slides, ethics and backup evidence</x:v>
      </x:c>
      <x:c r="E8" s="20" t="str">
        <x:v>Slides 1–21; backup slides; ethics; rubric audit; freeze PoC v1</x:v>
      </x:c>
      <x:c r="F8" s="20" t="str">
        <x:v>New substantive coding after evidence is sufficient</x:v>
      </x:c>
      <x:c r="G8" s="20" t="str">
        <x:v>All substantive PP work complete</x:v>
      </x:c>
      <x:c r="H8" s="20" t="str">
        <x:v>Not Started</x:v>
      </x:c>
    </x:row>
    <x:row r="9">
      <x:c r="A9" s="20" t="str">
        <x:v>Final</x:v>
      </x:c>
      <x:c r="B9" s="20" t="str">
        <x:v>2–5 Nov</x:v>
      </x:c>
      <x:c r="C9" s="20" t="n">
        <x:v>6</x:v>
      </x:c>
      <x:c r="D9" s="20" t="str">
        <x:v>QA and submission only</x:v>
      </x:c>
      <x:c r="E9" s="20" t="str">
        <x:v>Proofreading; timed run; file verification; upload; receipts</x:v>
      </x:c>
      <x:c r="F9" s="20" t="str">
        <x:v>New research, architecture or implementation</x:v>
      </x:c>
      <x:c r="G9" s="20" t="str">
        <x:v>Submission package verified</x:v>
      </x:c>
      <x:c r="H9" s="20" t="str">
        <x:v>Not Started</x:v>
      </x:c>
    </x:row>
    <x:row r="10">
      <x:c r="A10" s="20" t="str">
        <x:v>Post-Deadline</x:v>
      </x:c>
      <x:c r="B10" s="20" t="str">
        <x:v>6–8 Nov</x:v>
      </x:c>
      <x:c r="C10" s="20" t="n">
        <x:v>8</x:v>
      </x:c>
      <x:c r="D10" s="20" t="str">
        <x:v>Live presentation defence</x:v>
      </x:c>
      <x:c r="E10" s="20" t="str">
        <x:v>Scripts; novelty/data/method Q&amp;A; full rehearsal; mock viva; demo fallback</x:v>
      </x:c>
      <x:c r="F10" s="20" t="str">
        <x:v>Changing submitted research story</x:v>
      </x:c>
      <x:c r="G10" s="20" t="str">
        <x:v>Ready to defend submitted PP</x:v>
      </x:c>
      <x:c r="H10" s="20" t="str">
        <x:v>Not Started</x:v>
      </x:c>
    </x:row>
  </x:sheetData>
  <x:mergeCells>
    <x:mergeCell ref="A1:H1"/>
  </x:mergeCells>
  <x:dataValidations count="1">
    <x:dataValidation type="list" sqref="H4:H10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81e4299d354e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48" hidden="0" customWidth="1"/>
    <x:col min="4" max="4" width="48" hidden="0" customWidth="1"/>
    <x:col min="5" max="5" width="48" hidden="0" customWidth="1"/>
    <x:col min="6" max="6" width="12" hidden="0" customWidth="1"/>
  </x:cols>
  <x:sheetData>
    <x:row r="1">
      <x:c r="A1" s="4" t="str">
        <x:v>Current Position Before the Revised Plan</x:v>
      </x:c>
      <x:c r="B1" s="4"/>
      <x:c r="C1" s="4"/>
      <x:c r="D1" s="4"/>
      <x:c r="E1" s="4"/>
      <x:c r="F1" s="4"/>
    </x:row>
    <x:row r="3">
      <x:c r="A3" s="12" t="str">
        <x:v>Area</x:v>
      </x:c>
      <x:c r="B3" s="12" t="str">
        <x:v>Current Quality</x:v>
      </x:c>
      <x:c r="C3" s="12" t="str">
        <x:v>What Is Already Strong</x:v>
      </x:c>
      <x:c r="D3" s="12" t="str">
        <x:v>Known Weakness</x:v>
      </x:c>
      <x:c r="E3" s="12" t="str">
        <x:v>Immediate Action</x:v>
      </x:c>
      <x:c r="F3" s="12" t="str">
        <x:v>Target</x:v>
      </x:c>
    </x:row>
    <x:row r="4">
      <x:c r="A4" s="20" t="str">
        <x:v>Literature Survey – analytical quality</x:v>
      </x:c>
      <x:c r="B4" s="20" t="n">
        <x:v>4.7</x:v>
      </x:c>
      <x:c r="C4" s="20" t="str">
        <x:v>53 entries; strong critical synthesis; literature is actively changing the design</x:v>
      </x:c>
      <x:c r="D4" s="20" t="str">
        <x:v>P14 and P53 not personally reviewed; metadata gaps remain</x:v>
      </x:c>
      <x:c r="E4" s="20" t="str">
        <x:v>Finish P14/P53 and metadata; stop broad paper accumulation</x:v>
      </x:c>
      <x:c r="F4" s="20" t="n">
        <x:v>4.5</x:v>
      </x:c>
    </x:row>
    <x:row r="5">
      <x:c r="A5" s="20" t="str">
        <x:v>Main research gap</x:v>
      </x:c>
      <x:c r="B5" s="20" t="n">
        <x:v>4.6</x:v>
      </x:c>
      <x:c r="C5" s="20" t="str">
        <x:v>Heterogeneous-agent influence weighting conditioned on measured market state is precisely framed</x:v>
      </x:c>
      <x:c r="D5" s="20" t="str">
        <x:v>Some absolute wording and over-strong CSE comparison remains</x:v>
      </x:c>
      <x:c r="E5" s="20" t="str">
        <x:v>Language sweep and final CSE justification</x:v>
      </x:c>
      <x:c r="F5" s="20" t="n">
        <x:v>4.5</x:v>
      </x:c>
    </x:row>
    <x:row r="6">
      <x:c r="A6" s="20" t="str">
        <x:v>Sub-gap 1 – liquidity/execution</x:v>
      </x:c>
      <x:c r="B6" s="20" t="n">
        <x:v>3.7</x:v>
      </x:c>
      <x:c r="C6" s="20" t="str">
        <x:v>Prior overclaim withdrawn; gap narrowed to frontier calibration/inside-objective cost</x:v>
      </x:c>
      <x:c r="D6" s="20" t="str">
        <x:v>Lower novelty; long-horizon turnover/bid-ask data unresolved; P53 may further narrow it</x:v>
      </x:c>
      <x:c r="E6" s="20" t="str">
        <x:v>Read P53; formalise surviving contribution; secure/proxy liquidity data</x:v>
      </x:c>
      <x:c r="F6" s="20" t="n">
        <x:v>4.5</x:v>
      </x:c>
    </x:row>
    <x:row r="7">
      <x:c r="A7" s="20" t="str">
        <x:v>Sub-gap 2 – persistence</x:v>
      </x:c>
      <x:c r="B7" s="20" t="n">
        <x:v>4.5</x:v>
      </x:c>
      <x:c r="C7" s="20" t="str">
        <x:v>Clear distinction between volatility level and persistence; named baseline exists</x:v>
      </x:c>
      <x:c r="D7" s="20" t="str">
        <x:v>Rolling d stability and operational decay rule not yet demonstrated</x:v>
      </x:c>
      <x:c r="E7" s="20" t="str">
        <x:v>Run source-paper reproduction and persistence-aware PoC</x:v>
      </x:c>
      <x:c r="F7" s="20" t="n">
        <x:v>4.5</x:v>
      </x:c>
    </x:row>
    <x:row r="8">
      <x:c r="A8" s="20" t="str">
        <x:v>Conditioning set</x:v>
      </x:c>
      <x:c r="B8" s="20" t="n">
        <x:v>4.6</x:v>
      </x:c>
      <x:c r="C8" s="20" t="str">
        <x:v>L,V,P,C plus abstention are conceptually strong</x:v>
      </x:c>
      <x:c r="D8" s="20" t="str">
        <x:v>Confidence comparability and some feasibility questions remain</x:v>
      </x:c>
      <x:c r="E8" s="20" t="str">
        <x:v>Operationalise all terms in PoC</x:v>
      </x:c>
      <x:c r="F8" s="20" t="n">
        <x:v>4.5</x:v>
      </x:c>
    </x:row>
    <x:row r="9">
      <x:c r="A9" s="20" t="str">
        <x:v>Dataset research – conceptual</x:v>
      </x:c>
      <x:c r="B9" s="20" t="n">
        <x:v>4.4</x:v>
      </x:c>
      <x:c r="C9" s="20" t="str">
        <x:v>Strong source/quality/licence/role analysis</x:v>
      </x:c>
      <x:c r="D9" s="20" t="str">
        <x:v>Formal record not fully synchronised</x:v>
      </x:c>
      <x:c r="E9" s="20" t="str">
        <x:v>Fix matrix and freeze schema</x:v>
      </x:c>
      <x:c r="F9" s="20" t="n">
        <x:v>4.5</x:v>
      </x:c>
    </x:row>
    <x:row r="10">
      <x:c r="A10" s="20" t="str">
        <x:v>Dataset documentation consistency</x:v>
      </x:c>
      <x:c r="B10" s="20" t="n">
        <x:v>3.3</x:v>
      </x:c>
      <x:c r="C10" s="20" t="str">
        <x:v>Progress note reports major data progress</x:v>
      </x:c>
      <x:c r="D10" s="20" t="str">
        <x:v>28-vs-21 source mismatch; stale IDs; 10-year OHLCV not formally recorded</x:v>
      </x:c>
      <x:c r="E10" s="20" t="str">
        <x:v>Reconcile records and cross-references</x:v>
      </x:c>
      <x:c r="F10" s="20" t="n">
        <x:v>4.5</x:v>
      </x:c>
    </x:row>
    <x:row r="11">
      <x:c r="A11" s="20" t="str">
        <x:v>Evaluation design</x:v>
      </x:c>
      <x:c r="B11" s="20" t="n">
        <x:v>4.5</x:v>
      </x:c>
      <x:c r="C11" s="20" t="str">
        <x:v>Equal/static/dynamic baselines and ablations are already defined</x:v>
      </x:c>
      <x:c r="D11" s="20" t="str">
        <x:v>Protocol details still need freezing</x:v>
      </x:c>
      <x:c r="E11" s="20" t="str">
        <x:v>Freeze temporal protocol, metrics, leakage controls</x:v>
      </x:c>
      <x:c r="F11" s="20" t="n">
        <x:v>4.5</x:v>
      </x:c>
    </x:row>
    <x:row r="12">
      <x:c r="A12" s="20" t="str">
        <x:v>Aim/RQs/objectives</x:v>
      </x:c>
      <x:c r="B12" s="20" t="n">
        <x:v>1</x:v>
      </x:c>
      <x:c r="C12" s="20" t="str">
        <x:v>Research logic exists implicitly</x:v>
      </x:c>
      <x:c r="D12" s="20" t="str">
        <x:v>Formal statements not yet completed</x:v>
      </x:c>
      <x:c r="E12" s="20" t="str">
        <x:v>Write and map to success criteria</x:v>
      </x:c>
      <x:c r="F12" s="20" t="n">
        <x:v>4.5</x:v>
      </x:c>
    </x:row>
    <x:row r="13">
      <x:c r="A13" s="20" t="str">
        <x:v>Requirements engineering</x:v>
      </x:c>
      <x:c r="B13" s="20" t="n">
        <x:v>1</x:v>
      </x:c>
      <x:c r="C13" s="20" t="str">
        <x:v>Evidence base exists</x:v>
      </x:c>
      <x:c r="D13" s="20" t="str">
        <x:v>FR/NFR/DR/ML-AI/boundary requirements not yet formalised</x:v>
      </x:c>
      <x:c r="E13" s="20" t="str">
        <x:v>Complete requirements and traceability</x:v>
      </x:c>
      <x:c r="F13" s="20" t="n">
        <x:v>4.5</x:v>
      </x:c>
    </x:row>
    <x:row r="14">
      <x:c r="A14" s="20" t="str">
        <x:v>Architecture/final pipeline</x:v>
      </x:c>
      <x:c r="B14" s="20" t="n">
        <x:v>2</x:v>
      </x:c>
      <x:c r="C14" s="20" t="str">
        <x:v>Four agents, orchestrator and conditioning variables are known</x:v>
      </x:c>
      <x:c r="D14" s="20" t="str">
        <x:v>Formal interfaces/data flow not frozen</x:v>
      </x:c>
      <x:c r="E14" s="20" t="str">
        <x:v>Draw architecture and define interfaces</x:v>
      </x:c>
      <x:c r="F14" s="20" t="n">
        <x:v>4.5</x:v>
      </x:c>
    </x:row>
    <x:row r="15">
      <x:c r="A15" s="20" t="str">
        <x:v>PoC evidence</x:v>
      </x:c>
      <x:c r="B15" s="20" t="n">
        <x:v>1.5</x:v>
      </x:c>
      <x:c r="C15" s="20" t="str">
        <x:v>Feasible components are identified</x:v>
      </x:c>
      <x:c r="D15" s="20" t="str">
        <x:v>Research contribution not yet demonstrated end-to-end</x:v>
      </x:c>
      <x:c r="E15" s="20" t="str">
        <x:v>Implement integrated PoC and baseline/ablation runs</x:v>
      </x:c>
      <x:c r="F15" s="20" t="n">
        <x:v>4.5</x:v>
      </x:c>
    </x:row>
  </x:sheetData>
  <x:mergeCells>
    <x:mergeCell ref="A1:F1"/>
  </x:mergeCells>
  <x:conditionalFormatting sqref="B4:B15">
    <x:cfRule type="colorScale" priority="1">
      <x:colorScale>
        <x:cfvo type="min"/>
        <x:cfvo type="percentile" val="50"/>
        <x:cfvo type="max"/>
        <x:color rgb="FFF4CCCC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c0257e625c46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52" hidden="0" customWidth="1"/>
    <x:col min="4" max="4" width="52" hidden="0" customWidth="1"/>
    <x:col min="5" max="5" width="52" hidden="0" customWidth="1"/>
    <x:col min="6" max="6" width="14" hidden="0" customWidth="1"/>
    <x:col min="7" max="7" width="14" hidden="0" customWidth="1"/>
  </x:cols>
  <x:sheetData>
    <x:row r="1">
      <x:c r="A1" s="4" t="str">
        <x:v>Priority Improvement Log</x:v>
      </x:c>
      <x:c r="B1" s="4"/>
      <x:c r="C1" s="4"/>
      <x:c r="D1" s="4"/>
      <x:c r="E1" s="4"/>
      <x:c r="F1" s="4"/>
      <x:c r="G1" s="4"/>
    </x:row>
    <x:row r="3">
      <x:c r="A3" s="12" t="str">
        <x:v>Priority</x:v>
      </x:c>
      <x:c r="B3" s="12" t="str">
        <x:v>Improvement</x:v>
      </x:c>
      <x:c r="C3" s="12" t="str">
        <x:v>Why Needed</x:v>
      </x:c>
      <x:c r="D3" s="12" t="str">
        <x:v>Evidence of Current Issue</x:v>
      </x:c>
      <x:c r="E3" s="12" t="str">
        <x:v>Required Action</x:v>
      </x:c>
      <x:c r="F3" s="12" t="str">
        <x:v>Due</x:v>
      </x:c>
      <x:c r="G3" s="12" t="str">
        <x:v>Status</x:v>
      </x:c>
    </x:row>
    <x:row r="4">
      <x:c r="A4" s="20" t="str">
        <x:v>Critical</x:v>
      </x:c>
      <x:c r="B4" s="20" t="str">
        <x:v>Synchronise all research records</x:v>
      </x:c>
      <x:c r="C4" s="20" t="str">
        <x:v>Proposal claims must be auditable and internally consistent</x:v>
      </x:c>
      <x:c r="D4" s="20" t="str">
        <x:v>Progress note and workbook currently differ on paper count, dataset count and OHLCV status</x:v>
      </x:c>
      <x:c r="E4" s="20" t="str">
        <x:v>Reconcile Research Gap.md, Progress Update and Consolidated Matrix</x:v>
      </x:c>
      <x:c r="F4" s="21" t="str">
        <x:v>2026-10-04</x:v>
      </x:c>
      <x:c r="G4" s="20" t="str">
        <x:v>Not Started</x:v>
      </x:c>
    </x:row>
    <x:row r="5">
      <x:c r="A5" s="20" t="str">
        <x:v>Critical</x:v>
      </x:c>
      <x:c r="B5" s="20" t="str">
        <x:v>Complete P53 review</x:v>
      </x:c>
      <x:c r="C5" s="20" t="str">
        <x:v>P53 may materially affect Sub-gap 1</x:v>
      </x:c>
      <x:c r="D5" s="20" t="str">
        <x:v>Smart Trading Rule row is not reviewed</x:v>
      </x:c>
      <x:c r="E5" s="20" t="str">
        <x:v>Read original paper and complete matrix row</x:v>
      </x:c>
      <x:c r="F5" s="21" t="str">
        <x:v>2026-09-29</x:v>
      </x:c>
      <x:c r="G5" s="20" t="str">
        <x:v>Not Started</x:v>
      </x:c>
    </x:row>
    <x:row r="6">
      <x:c r="A6" s="20" t="str">
        <x:v>Critical</x:v>
      </x:c>
      <x:c r="B6" s="20" t="str">
        <x:v>Complete P14 review</x:v>
      </x:c>
      <x:c r="C6" s="20" t="str">
        <x:v>Literature count is currently overstated</x:v>
      </x:c>
      <x:c r="D6" s="20" t="str">
        <x:v>P14 is still based on provisional/source-derived notes</x:v>
      </x:c>
      <x:c r="E6" s="20" t="str">
        <x:v>Read original paper and replace provisional content</x:v>
      </x:c>
      <x:c r="F6" s="21" t="str">
        <x:v>2026-09-30</x:v>
      </x:c>
      <x:c r="G6" s="20" t="str">
        <x:v>Not Started</x:v>
      </x:c>
    </x:row>
    <x:row r="7">
      <x:c r="A7" s="20" t="str">
        <x:v>Critical</x:v>
      </x:c>
      <x:c r="B7" s="20" t="str">
        <x:v>Formalise 10-year OHLCV dataset</x:v>
      </x:c>
      <x:c r="C7" s="20" t="str">
        <x:v>Core feasibility evidence must exist in the formal dataset record</x:v>
      </x:c>
      <x:c r="D7" s="20" t="str">
        <x:v>Progress note claims 270 counters × 10 years but matrix does not document it</x:v>
      </x:c>
      <x:c r="E7" s="20" t="str">
        <x:v>Add authoritative dataset row with provenance/licence/coverage</x:v>
      </x:c>
      <x:c r="F7" s="21" t="str">
        <x:v>2026-10-03</x:v>
      </x:c>
      <x:c r="G7" s="20" t="str">
        <x:v>Not Started</x:v>
      </x:c>
    </x:row>
    <x:row r="8">
      <x:c r="A8" s="20" t="str">
        <x:v>High</x:v>
      </x:c>
      <x:c r="B8" s="20" t="str">
        <x:v>Remove remaining absolute novelty wording</x:v>
      </x:c>
      <x:c r="C8" s="20" t="str">
        <x:v>Avoid indefensible 'nothing/no one/never' claims</x:v>
      </x:c>
      <x:c r="D8" s="20" t="str">
        <x:v>Research Gap.md still contains some absolute constructions</x:v>
      </x:c>
      <x:c r="E8" s="20" t="str">
        <x:v>Replace with evidence-bounded reviewed-literature claims</x:v>
      </x:c>
      <x:c r="F8" s="21" t="str">
        <x:v>2026-10-02</x:v>
      </x:c>
      <x:c r="G8" s="20" t="str">
        <x:v>In Progress</x:v>
      </x:c>
    </x:row>
    <x:row r="9">
      <x:c r="A9" s="20" t="str">
        <x:v>High</x:v>
      </x:c>
      <x:c r="B9" s="20" t="str">
        <x:v>Fix dataset IDs and stale references</x:v>
      </x:c>
      <x:c r="C9" s="20" t="str">
        <x:v>Traceability is currently unreliable</x:v>
      </x:c>
      <x:c r="D9" s="20" t="str">
        <x:v>D17 points to wrong D20; D26/D31/D38 references are stale</x:v>
      </x:c>
      <x:c r="E9" s="20" t="str">
        <x:v>Run full reference-integrity sweep</x:v>
      </x:c>
      <x:c r="F9" s="21" t="str">
        <x:v>2026-10-04</x:v>
      </x:c>
      <x:c r="G9" s="20" t="str">
        <x:v>Not Started</x:v>
      </x:c>
    </x:row>
    <x:row r="10">
      <x:c r="A10" s="20" t="str">
        <x:v>High</x:v>
      </x:c>
      <x:c r="B10" s="20" t="str">
        <x:v>Freeze formal Aim/RQs/Objectives</x:v>
      </x:c>
      <x:c r="C10" s="20" t="str">
        <x:v>PP requires answerable research questions and objectives</x:v>
      </x:c>
      <x:c r="D10" s="20" t="str">
        <x:v>Currently rated 1.0</x:v>
      </x:c>
      <x:c r="E10" s="20" t="str">
        <x:v>Write, map and define success criteria</x:v>
      </x:c>
      <x:c r="F10" s="21" t="str">
        <x:v>2026-10-08</x:v>
      </x:c>
      <x:c r="G10" s="20" t="str">
        <x:v>Not Started</x:v>
      </x:c>
    </x:row>
    <x:row r="11">
      <x:c r="A11" s="20" t="str">
        <x:v>High</x:v>
      </x:c>
      <x:c r="B11" s="20" t="str">
        <x:v>Complete requirement elicitation</x:v>
      </x:c>
      <x:c r="C11" s="20" t="str">
        <x:v>Requirements/Solution is the largest PP criterion</x:v>
      </x:c>
      <x:c r="D11" s="20" t="str">
        <x:v>Requirements are not yet formalised</x:v>
      </x:c>
      <x:c r="E11" s="20" t="str">
        <x:v>Create FR/NFR/DR/ML-AI/boundary requirements with acceptance criteria</x:v>
      </x:c>
      <x:c r="F11" s="21" t="str">
        <x:v>2026-10-10</x:v>
      </x:c>
      <x:c r="G11" s="20" t="str">
        <x:v>Not Started</x:v>
      </x:c>
    </x:row>
    <x:row r="12">
      <x:c r="A12" s="20" t="str">
        <x:v>High</x:v>
      </x:c>
      <x:c r="B12" s="20" t="str">
        <x:v>Run liquidity profiling</x:v>
      </x:c>
      <x:c r="C12" s="20" t="str">
        <x:v>Actual experimental universe is not yet known</x:v>
      </x:c>
      <x:c r="D12" s="20" t="str">
        <x:v>270-counter envelope overstates usable securities</x:v>
      </x:c>
      <x:c r="E12" s="20" t="str">
        <x:v>Compute history/activity/liquidity screen and freeze universe</x:v>
      </x:c>
      <x:c r="F12" s="21" t="str">
        <x:v>2026-10-11</x:v>
      </x:c>
      <x:c r="G12" s="20" t="str">
        <x:v>Not Started</x:v>
      </x:c>
    </x:row>
    <x:row r="13">
      <x:c r="A13" s="20" t="str">
        <x:v>High</x:v>
      </x:c>
      <x:c r="B13" s="20" t="str">
        <x:v>Demonstrate the proposed mechanism in PoC</x:v>
      </x:c>
      <x:c r="C13" s="20" t="str">
        <x:v>Proposal needs feasibility evidence for the actual contribution</x:v>
      </x:c>
      <x:c r="D13" s="20" t="str">
        <x:v>Components exist conceptually but orchestration has not been demonstrated</x:v>
      </x:c>
      <x:c r="E13" s="20" t="str">
        <x:v>Run equal/static/dynamic baselines plus ablations</x:v>
      </x:c>
      <x:c r="F13" s="21" t="str">
        <x:v>2026-10-25</x:v>
      </x:c>
      <x:c r="G13" s="20" t="str">
        <x:v>Not Started</x:v>
      </x:c>
    </x:row>
  </x:sheetData>
  <x:mergeCells>
    <x:mergeCell ref="A1:G1"/>
  </x:mergeCells>
  <x:dataValidations count="1">
    <x:dataValidation type="list" sqref="G4:G13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92dbfdf92946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14" hidden="0" customWidth="1"/>
    <x:col min="4" max="4" width="14" hidden="0" customWidth="1"/>
    <x:col min="5" max="5" width="11" hidden="0" customWidth="1"/>
    <x:col min="6" max="6" width="34" hidden="0" customWidth="1"/>
    <x:col min="7" max="7" width="44" hidden="0" customWidth="1"/>
  </x:cols>
  <x:sheetData>
    <x:row r="1">
      <x:c r="A1" s="4" t="str">
        <x:v>Project Proposal Deliverables — Definition of Done</x:v>
      </x:c>
      <x:c r="B1" s="4"/>
      <x:c r="C1" s="4"/>
      <x:c r="D1" s="4"/>
      <x:c r="E1" s="4"/>
      <x:c r="F1" s="4"/>
      <x:c r="G1" s="4"/>
    </x:row>
    <x:row r="3">
      <x:c r="A3" s="12" t="str">
        <x:v>Deliverable</x:v>
      </x:c>
      <x:c r="B3" s="12" t="str">
        <x:v>Definition of Done</x:v>
      </x:c>
      <x:c r="C3" s="12" t="str">
        <x:v>Due</x:v>
      </x:c>
      <x:c r="D3" s="12" t="str">
        <x:v>Current Status</x:v>
      </x:c>
      <x:c r="E3" s="12" t="str">
        <x:v>Quality /5</x:v>
      </x:c>
      <x:c r="F3" s="12" t="str">
        <x:v>Evidence/Location</x:v>
      </x:c>
      <x:c r="G3" s="12" t="str">
        <x:v>Action if &lt;4.5</x:v>
      </x:c>
    </x:row>
    <x:row r="4">
      <x:c r="A4" s="20" t="str">
        <x:v>Literature Survey</x:v>
      </x:c>
      <x:c r="B4" s="20" t="str">
        <x:v>All 53 entries personally reviewed; metadata complete; thematic synthesis supports final gap</x:v>
      </x:c>
      <x:c r="C4" s="21" t="str">
        <x:v>2026-10-04</x:v>
      </x:c>
      <x:c r="D4" s="20" t="str">
        <x:v>In Progress</x:v>
      </x:c>
      <x:c r="E4" s="20" t="n">
        <x:v>4.2</x:v>
      </x:c>
      <x:c r="F4" s="20" t="str">
        <x:v>Consolidated Research Matrix</x:v>
      </x:c>
      <x:c r="G4" s="20" t="str">
        <x:v>Finish P14/P53 + metadata; do not add random papers</x:v>
      </x:c>
    </x:row>
    <x:row r="5">
      <x:c r="A5" s="20" t="str">
        <x:v>Research Gap</x:v>
      </x:c>
      <x:c r="B5" s="20" t="str">
        <x:v>One main gap + two connected sub-gaps; no unsupported absolute claims; five nearest systems contrasted</x:v>
      </x:c>
      <x:c r="C5" s="21" t="str">
        <x:v>2026-10-04</x:v>
      </x:c>
      <x:c r="D5" s="20" t="str">
        <x:v>In Progress</x:v>
      </x:c>
      <x:c r="E5" s="20" t="n">
        <x:v>4.6</x:v>
      </x:c>
      <x:c r="F5" s="20" t="str">
        <x:v>Research Gap.md</x:v>
      </x:c>
      <x:c r="G5" s="20" t="str">
        <x:v>Final wording/CSE justification clean-up</x:v>
      </x:c>
    </x:row>
    <x:row r="6">
      <x:c r="A6" s="20" t="str">
        <x:v>Dataset Strategy</x:v>
      </x:c>
      <x:c r="B6" s="20" t="str">
        <x:v>10-year OHLCV formally documented; dataset IDs correct; final schema and universe frozen; liquidity limits explicit</x:v>
      </x:c>
      <x:c r="C6" s="21" t="str">
        <x:v>2026-10-11</x:v>
      </x:c>
      <x:c r="D6" s="20" t="str">
        <x:v>In Progress</x:v>
      </x:c>
      <x:c r="E6" s="20" t="n">
        <x:v>3.3</x:v>
      </x:c>
      <x:c r="F6" s="20" t="str">
        <x:v>Dataset sheet + profiling outputs</x:v>
      </x:c>
      <x:c r="G6" s="20" t="str">
        <x:v>Synchronise, profile, freeze schema/universe</x:v>
      </x:c>
    </x:row>
    <x:row r="7">
      <x:c r="A7" s="20" t="str">
        <x:v>Aim/RQs/Objectives</x:v>
      </x:c>
      <x:c r="B7" s="20" t="str">
        <x:v>Formal aim; answerable RQs; mapped objectives; measurable success criteria</x:v>
      </x:c>
      <x:c r="C7" s="21" t="str">
        <x:v>2026-10-08</x:v>
      </x:c>
      <x:c r="D7" s="20" t="str">
        <x:v>Not Started</x:v>
      </x:c>
      <x:c r="E7" s="20" t="n">
        <x:v>1</x:v>
      </x:c>
      <x:c r="F7" s="20" t="str">
        <x:v>PP research design notes</x:v>
      </x:c>
      <x:c r="G7" s="20" t="str">
        <x:v>Complete before requirements freeze</x:v>
      </x:c>
    </x:row>
    <x:row r="8">
      <x:c r="A8" s="20" t="str">
        <x:v>Requirements</x:v>
      </x:c>
      <x:c r="B8" s="20" t="str">
        <x:v>FR/NFR/DR/ML-AI/boundary requirements with source, priority and acceptance evidence</x:v>
      </x:c>
      <x:c r="C8" s="21" t="str">
        <x:v>2026-10-10</x:v>
      </x:c>
      <x:c r="D8" s="20" t="str">
        <x:v>Not Started</x:v>
      </x:c>
      <x:c r="E8" s="20" t="n">
        <x:v>1</x:v>
      </x:c>
      <x:c r="F8" s="20" t="str">
        <x:v>Requirements matrix</x:v>
      </x:c>
      <x:c r="G8" s="20" t="str">
        <x:v>Complete traceable elicitation</x:v>
      </x:c>
    </x:row>
    <x:row r="9">
      <x:c r="A9" s="20" t="str">
        <x:v>Architecture &amp; Pipeline</x:v>
      </x:c>
      <x:c r="B9" s="20" t="str">
        <x:v>Component architecture, data flow, interfaces and abstention handling frozen</x:v>
      </x:c>
      <x:c r="C9" s="21" t="str">
        <x:v>2026-10-17</x:v>
      </x:c>
      <x:c r="D9" s="20" t="str">
        <x:v>Not Started</x:v>
      </x:c>
      <x:c r="E9" s="20" t="n">
        <x:v>2</x:v>
      </x:c>
      <x:c r="F9" s="20" t="str">
        <x:v>Architecture diagrams</x:v>
      </x:c>
      <x:c r="G9" s="20" t="str">
        <x:v>Freeze before integrated PoC</x:v>
      </x:c>
    </x:row>
    <x:row r="10">
      <x:c r="A10" s="20" t="str">
        <x:v>Methodology &amp; Evaluation</x:v>
      </x:c>
      <x:c r="B10" s="20" t="str">
        <x:v>Research + development methodologies, baselines, metrics, temporal protocol, leakage controls and ablations defined</x:v>
      </x:c>
      <x:c r="C10" s="21" t="str">
        <x:v>2026-10-18</x:v>
      </x:c>
      <x:c r="D10" s="20" t="str">
        <x:v>Not Started</x:v>
      </x:c>
      <x:c r="E10" s="20" t="n">
        <x:v>4</x:v>
      </x:c>
      <x:c r="F10" s="20" t="str">
        <x:v>Methodology notes</x:v>
      </x:c>
      <x:c r="G10" s="20" t="str">
        <x:v>Formalise and freeze protocol</x:v>
      </x:c>
    </x:row>
    <x:row r="11">
      <x:c r="A11" s="20" t="str">
        <x:v>Proof of Concept v1</x:v>
      </x:c>
      <x:c r="B11" s="20" t="str">
        <x:v>Integrated pipeline executes; equal/static/dynamic comparisons run; key ablations and persistence experiment evidenced</x:v>
      </x:c>
      <x:c r="C11" s="21" t="str">
        <x:v>2026-10-25</x:v>
      </x:c>
      <x:c r="D11" s="20" t="str">
        <x:v>Not Started</x:v>
      </x:c>
      <x:c r="E11" s="20" t="n">
        <x:v>1.5</x:v>
      </x:c>
      <x:c r="F11" s="20" t="str">
        <x:v>PoC repository/evidence pack</x:v>
      </x:c>
      <x:c r="G11" s="20" t="str">
        <x:v>Implement and capture reproducible evidence</x:v>
      </x:c>
    </x:row>
    <x:row r="12">
      <x:c r="A12" s="20" t="str">
        <x:v>PP Slides</x:v>
      </x:c>
      <x:c r="B12" s="20" t="str">
        <x:v>Slides 1–21 complete, cited, readable and rubric-aligned; backup slides prepared</x:v>
      </x:c>
      <x:c r="C12" s="21" t="str">
        <x:v>2026-11-01</x:v>
      </x:c>
      <x:c r="D12" s="20" t="str">
        <x:v>Not Started</x:v>
      </x:c>
      <x:c r="E12" s="20" t="n">
        <x:v>1</x:v>
      </x:c>
      <x:c r="F12" s="20" t="str">
        <x:v>Presentation file</x:v>
      </x:c>
      <x:c r="G12" s="20" t="str">
        <x:v>Build only from frozen evidence</x:v>
      </x:c>
    </x:row>
    <x:row r="13">
      <x:c r="A13" s="20" t="str">
        <x:v>Ethics Application</x:v>
      </x:c>
      <x:c r="B13" s="20" t="str">
        <x:v>All fields and signatures complete; file verified and ready to submit</x:v>
      </x:c>
      <x:c r="C13" s="21" t="str">
        <x:v>2026-11-01</x:v>
      </x:c>
      <x:c r="D13" s="20" t="str">
        <x:v>Not Started</x:v>
      </x:c>
      <x:c r="E13" s="20" t="n">
        <x:v>1</x:v>
      </x:c>
      <x:c r="F13" s="20" t="str">
        <x:v>Signed ethics file</x:v>
      </x:c>
      <x:c r="G13" s="20" t="str">
        <x:v>Mandatory — no omissions</x:v>
      </x:c>
    </x:row>
    <x:row r="14">
      <x:c r="A14" s="20" t="str">
        <x:v>Submission Package</x:v>
      </x:c>
      <x:c r="B14" s="20" t="str">
        <x:v>Slides + signed ethics uploaded, reopened and archived with receipt</x:v>
      </x:c>
      <x:c r="C14" s="21" t="str">
        <x:v>2026-11-05</x:v>
      </x:c>
      <x:c r="D14" s="20" t="str">
        <x:v>Not Started</x:v>
      </x:c>
      <x:c r="E14" s="20" t="n">
        <x:v>1</x:v>
      </x:c>
      <x:c r="F14" s="20" t="str">
        <x:v>Blackboard submission archive</x:v>
      </x:c>
      <x:c r="G14" s="20" t="str">
        <x:v>QA only; no substantive last-minute changes</x:v>
      </x:c>
    </x:row>
  </x:sheetData>
  <x:mergeCells>
    <x:mergeCell ref="A1:G1"/>
  </x:mergeCells>
  <x:conditionalFormatting sqref="E4:E14">
    <x:cfRule type="expression" dxfId="7" priority="1">
      <x:formula>AND(ISNUMBER(E4),E4&lt;4.5)</x:formula>
    </x:cfRule>
  </x:conditionalFormatting>
  <x:dataValidations count="1">
    <x:dataValidation type="list" sqref="D4:D14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617fd938834e0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2" hidden="0" customWidth="1"/>
    <x:col min="3" max="3" width="38" hidden="0" customWidth="1"/>
    <x:col min="4" max="4" width="10" hidden="0" customWidth="1"/>
    <x:col min="5" max="5" width="14" hidden="0" customWidth="1"/>
    <x:col min="6" max="6" width="11" hidden="0" customWidth="1"/>
    <x:col min="7" max="7" width="36" hidden="0" customWidth="1"/>
  </x:cols>
  <x:sheetData>
    <x:row r="1">
      <x:c r="A1" s="4" t="str">
        <x:v>Post-Deadline Live Presentation Preparation</x:v>
      </x:c>
      <x:c r="B1" s="4"/>
      <x:c r="C1" s="4"/>
      <x:c r="D1" s="4"/>
      <x:c r="E1" s="4"/>
      <x:c r="F1" s="4"/>
      <x:c r="G1" s="4"/>
    </x:row>
    <x:row r="3">
      <x:c r="A3" s="12" t="str">
        <x:v>Date</x:v>
      </x:c>
      <x:c r="B3" s="12" t="str">
        <x:v>Task</x:v>
      </x:c>
      <x:c r="C3" s="12" t="str">
        <x:v>Output</x:v>
      </x:c>
      <x:c r="D3" s="12" t="str">
        <x:v>Hours</x:v>
      </x:c>
      <x:c r="E3" s="12" t="str">
        <x:v>Status</x:v>
      </x:c>
      <x:c r="F3" s="12" t="str">
        <x:v>Quality /5</x:v>
      </x:c>
      <x:c r="G3" s="12" t="str">
        <x:v>Notes</x:v>
      </x:c>
    </x:row>
    <x:row r="4">
      <x:c r="A4" s="21" t="n">
        <x:v>46332</x:v>
      </x:c>
      <x:c r="B4" s="20" t="str">
        <x:v>Create a concise spoken script for Slides 1–7</x:v>
      </x:c>
      <x:c r="C4" s="20" t="str">
        <x:v>Live script part 1</x:v>
      </x:c>
      <x:c r="D4" s="20" t="n">
        <x:v>1</x:v>
      </x:c>
      <x:c r="E4" s="20" t="str">
        <x:v>Not Started</x:v>
      </x:c>
      <x:c r="F4" s="20"/>
      <x:c r="G4" s="20" t="str"/>
    </x:row>
    <x:row r="5">
      <x:c r="A5" s="21" t="n">
        <x:v>46332</x:v>
      </x:c>
      <x:c r="B5" s="20" t="str">
        <x:v>Create a concise spoken script for Slides 8–14</x:v>
      </x:c>
      <x:c r="C5" s="20" t="str">
        <x:v>Live script part 2</x:v>
      </x:c>
      <x:c r="D5" s="20" t="n">
        <x:v>1</x:v>
      </x:c>
      <x:c r="E5" s="20" t="str">
        <x:v>Not Started</x:v>
      </x:c>
      <x:c r="F5" s="20"/>
      <x:c r="G5" s="20" t="str"/>
    </x:row>
    <x:row r="6">
      <x:c r="A6" s="21" t="n">
        <x:v>46332</x:v>
      </x:c>
      <x:c r="B6" s="20" t="str">
        <x:v>Create a concise spoken script for Slides 15–21</x:v>
      </x:c>
      <x:c r="C6" s="20" t="str">
        <x:v>Live script part 3</x:v>
      </x:c>
      <x:c r="D6" s="20" t="n">
        <x:v>1</x:v>
      </x:c>
      <x:c r="E6" s="20" t="str">
        <x:v>Not Started</x:v>
      </x:c>
      <x:c r="F6" s="20"/>
      <x:c r="G6" s="20" t="str"/>
    </x:row>
    <x:row r="7">
      <x:c r="A7" s="21" t="n">
        <x:v>46333</x:v>
      </x:c>
      <x:c r="B7" s="20" t="str">
        <x:v>Prepare a 30-second novelty statement</x:v>
      </x:c>
      <x:c r="C7" s="20" t="str">
        <x:v>Novelty defence</x:v>
      </x:c>
      <x:c r="D7" s="20" t="n">
        <x:v>0.5</x:v>
      </x:c>
      <x:c r="E7" s="20" t="str">
        <x:v>Not Started</x:v>
      </x:c>
      <x:c r="F7" s="20"/>
      <x:c r="G7" s="20" t="str"/>
    </x:row>
    <x:row r="8">
      <x:c r="A8" s="21" t="n">
        <x:v>46333</x:v>
      </x:c>
      <x:c r="B8" s="20" t="str">
        <x:v>Prepare a 60-second research summary</x:v>
      </x:c>
      <x:c r="C8" s="20" t="str">
        <x:v>Research summary</x:v>
      </x:c>
      <x:c r="D8" s="20" t="n">
        <x:v>0.5</x:v>
      </x:c>
      <x:c r="E8" s="20" t="str">
        <x:v>Not Started</x:v>
      </x:c>
      <x:c r="F8" s="20"/>
      <x:c r="G8" s="20" t="str"/>
    </x:row>
    <x:row r="9">
      <x:c r="A9" s="21" t="n">
        <x:v>46333</x:v>
      </x:c>
      <x:c r="B9" s="20" t="str">
        <x:v>Prepare answers to dataset and feasibility questions</x:v>
      </x:c>
      <x:c r="C9" s="20" t="str">
        <x:v>Dataset Q&amp;A bank</x:v>
      </x:c>
      <x:c r="D9" s="20" t="n">
        <x:v>1</x:v>
      </x:c>
      <x:c r="E9" s="20" t="str">
        <x:v>Not Started</x:v>
      </x:c>
      <x:c r="F9" s="20"/>
      <x:c r="G9" s="20" t="str"/>
    </x:row>
    <x:row r="10">
      <x:c r="A10" s="21" t="n">
        <x:v>46333</x:v>
      </x:c>
      <x:c r="B10" s="20" t="str">
        <x:v>Prepare answers to gap, novelty and prior-work questions</x:v>
      </x:c>
      <x:c r="C10" s="20" t="str">
        <x:v>Novelty Q&amp;A bank</x:v>
      </x:c>
      <x:c r="D10" s="20" t="n">
        <x:v>1</x:v>
      </x:c>
      <x:c r="E10" s="20" t="str">
        <x:v>Not Started</x:v>
      </x:c>
      <x:c r="F10" s="20"/>
      <x:c r="G10" s="20" t="str"/>
    </x:row>
    <x:row r="11">
      <x:c r="A11" s="21" t="n">
        <x:v>46334</x:v>
      </x:c>
      <x:c r="B11" s="20" t="str">
        <x:v>Run a full timed live-presentation rehearsal</x:v>
      </x:c>
      <x:c r="C11" s="20" t="str">
        <x:v>Rehearsal 1</x:v>
      </x:c>
      <x:c r="D11" s="20" t="n">
        <x:v>1.5</x:v>
      </x:c>
      <x:c r="E11" s="20" t="str">
        <x:v>Not Started</x:v>
      </x:c>
      <x:c r="F11" s="20"/>
      <x:c r="G11" s="20" t="str"/>
    </x:row>
    <x:row r="12">
      <x:c r="A12" s="21" t="n">
        <x:v>46334</x:v>
      </x:c>
      <x:c r="B12" s="20" t="str">
        <x:v>Run a critical mock viva focused on novelty, data and methodology</x:v>
      </x:c>
      <x:c r="C12" s="20" t="str">
        <x:v>Mock viva 1</x:v>
      </x:c>
      <x:c r="D12" s="20" t="n">
        <x:v>1.5</x:v>
      </x:c>
      <x:c r="E12" s="20" t="str">
        <x:v>Not Started</x:v>
      </x:c>
      <x:c r="F12" s="20"/>
      <x:c r="G12" s="20" t="str"/>
    </x:row>
    <x:row r="13">
      <x:c r="A13" s="21" t="n">
        <x:v>46334</x:v>
      </x:c>
      <x:c r="B13" s="20" t="str">
        <x:v>Prepare the PoC demo fallback if live execution fails</x:v>
      </x:c>
      <x:c r="C13" s="20" t="str">
        <x:v>Demo fallback plan</x:v>
      </x:c>
      <x:c r="D13" s="20" t="n">
        <x:v>1</x:v>
      </x:c>
      <x:c r="E13" s="20" t="str">
        <x:v>Not Started</x:v>
      </x:c>
      <x:c r="F13" s="20"/>
      <x:c r="G13" s="20" t="str"/>
    </x:row>
    <x:row r="14">
      <x:c r="A14" s="21" t="n">
        <x:v>46334</x:v>
      </x:c>
      <x:c r="B14" s="20" t="str">
        <x:v>Correct the slide/script issues found in rehearsal</x:v>
      </x:c>
      <x:c r="C14" s="20" t="str">
        <x:v>Live presentation final corrections</x:v>
      </x:c>
      <x:c r="D14" s="20" t="n">
        <x:v>1</x:v>
      </x:c>
      <x:c r="E14" s="20" t="str">
        <x:v>Not Started</x:v>
      </x:c>
      <x:c r="F14" s="20"/>
      <x:c r="G14" s="20" t="str"/>
    </x:row>
  </x:sheetData>
  <x:mergeCells>
    <x:mergeCell ref="A1:G1"/>
  </x:mergeCells>
  <x:dataValidations count="1">
    <x:dataValidation type="list" sqref="E4:E14">
      <x:formula1>"Not Started,In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5b6674e1b04afe"/>
  </x:tableParts>
</x:worksheet>
</file>